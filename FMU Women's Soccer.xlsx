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ph" sheetId="1" r:id="rId5"/>
    <sheet state="visible" name="Matrix" sheetId="2" r:id="rId6"/>
    <sheet state="visible" name="Optimization" sheetId="3" r:id="rId7"/>
    <sheet state="visible" name="soccer cc games" sheetId="4" r:id="rId8"/>
    <sheet state="hidden" name="__OpenSolverCache__" sheetId="5" r:id="rId9"/>
    <sheet state="hidden" name="__OpenSolver__" sheetId="6" r:id="rId10"/>
    <sheet state="hidden" name="__OpenSolverCache__ (1)" sheetId="7" r:id="rId11"/>
    <sheet state="hidden" name="__OpenSolver__ (1)" sheetId="8" r:id="rId12"/>
  </sheets>
  <definedNames>
    <definedName localSheetId="2" name="solver_lhs2">Optimization!$B$57:$Q$57</definedName>
    <definedName localSheetId="2" name="solver_lhs17">Optimization!$B$41:$Q$56</definedName>
    <definedName localSheetId="2" name="solver_lhs14">Optimization!$B$41:$Q$56</definedName>
    <definedName localSheetId="2" name="solver_lhs6">Optimization!$B$41:$Q$56</definedName>
    <definedName name="TotalCost">Optimization!$C$58</definedName>
    <definedName localSheetId="2" name="solver_lhs4">Optimization!$M$52:$Q$56</definedName>
    <definedName localSheetId="2" name="solver_rhs5">Optimization!$S$41:$S$56</definedName>
    <definedName name="DistanceMatrix">Optimization!$B$23:$Q$38</definedName>
    <definedName localSheetId="2" name="solver_lhs8">Optimization!$B$41:$Q$56</definedName>
    <definedName localSheetId="2" name="solver_lhs9">Optimization!$B$41:$Q$56</definedName>
    <definedName localSheetId="1" name="solver_adj">Matrix!$A$40:$P$55</definedName>
    <definedName localSheetId="2" name="solver_opt">Optimization!$S$23</definedName>
    <definedName localSheetId="2" name="solver_lhs13">Optimization!$B$41:$Q$56</definedName>
    <definedName name="DecisionMatrix">Optimization!$B$41:$Q$56</definedName>
    <definedName localSheetId="2" name="solver_lhs5">Optimization!$R$41:$R$56</definedName>
    <definedName localSheetId="2" name="solver_lhs11">Optimization!$B$41:$Q$56</definedName>
    <definedName localSheetId="2" name="solver_lhs3">Optimization!$H$47:$L$51</definedName>
    <definedName localSheetId="2" name="solver_lhs16">Optimization!$B$41:$Q$56</definedName>
    <definedName localSheetId="1" name="solver_lhs1">Matrix!$A$40:$P$55</definedName>
    <definedName localSheetId="2" name="solver_lhs1">Optimization!$B$41:$G$46</definedName>
    <definedName localSheetId="2" name="solver_lhs7">Optimization!$B$41:$Q$56</definedName>
    <definedName localSheetId="2" name="solver_rhs2">Optimization!$B$58:$Q$58</definedName>
    <definedName localSheetId="2" name="solver_lhs15">Optimization!$B$41:$Q$56</definedName>
    <definedName localSheetId="1" name="solver_opt">Matrix!$B$57</definedName>
    <definedName localSheetId="2" name="solver_lhs10">Optimization!$B$41:$Q$56</definedName>
    <definedName localSheetId="2" name="solver_adj">Optimization!$B$41:$Q$56</definedName>
    <definedName localSheetId="2" name="solver_lhs12">Optimization!$B$41:$Q$56</definedName>
  </definedNames>
  <calcPr/>
</workbook>
</file>

<file path=xl/sharedStrings.xml><?xml version="1.0" encoding="utf-8"?>
<sst xmlns="http://schemas.openxmlformats.org/spreadsheetml/2006/main" count="164" uniqueCount="79">
  <si>
    <t xml:space="preserve">Matrix with schools </t>
  </si>
  <si>
    <t>Schools</t>
  </si>
  <si>
    <t>FMU</t>
  </si>
  <si>
    <t xml:space="preserve">UNC Pembroke </t>
  </si>
  <si>
    <t>Chowan</t>
  </si>
  <si>
    <t xml:space="preserve">Ferrum </t>
  </si>
  <si>
    <t>Barton</t>
  </si>
  <si>
    <t xml:space="preserve">Mount Olive </t>
  </si>
  <si>
    <t>Belmont Abbey</t>
  </si>
  <si>
    <t>North Greenville</t>
  </si>
  <si>
    <t>Converse</t>
  </si>
  <si>
    <t>Lees-McRae</t>
  </si>
  <si>
    <t>King</t>
  </si>
  <si>
    <t xml:space="preserve">Young Harris </t>
  </si>
  <si>
    <t>Emmanuel</t>
  </si>
  <si>
    <t>Southern Wesleyan</t>
  </si>
  <si>
    <t>Erskine</t>
  </si>
  <si>
    <t>Shorter</t>
  </si>
  <si>
    <t>UNC Pembroke</t>
  </si>
  <si>
    <t xml:space="preserve">Chowan </t>
  </si>
  <si>
    <t>Ferrum</t>
  </si>
  <si>
    <t xml:space="preserve">Barton </t>
  </si>
  <si>
    <t>Mount Olive</t>
  </si>
  <si>
    <t>Young Harris</t>
  </si>
  <si>
    <t>Matrix w/o schools</t>
  </si>
  <si>
    <t>Decision Variable Matrix</t>
  </si>
  <si>
    <t xml:space="preserve">Total Cost = </t>
  </si>
  <si>
    <t>Total mileage</t>
  </si>
  <si>
    <t>set cost function</t>
  </si>
  <si>
    <t>I'll explain more in an email</t>
  </si>
  <si>
    <t>New Constraints</t>
  </si>
  <si>
    <t>Set all inconference games variables =0</t>
  </si>
  <si>
    <t>we'll add in the solver window</t>
  </si>
  <si>
    <t>Game #</t>
  </si>
  <si>
    <t>Home</t>
  </si>
  <si>
    <t>Away</t>
  </si>
  <si>
    <t>Location</t>
  </si>
  <si>
    <t>City/State</t>
  </si>
  <si>
    <t>Day</t>
  </si>
  <si>
    <t>Day of Week</t>
  </si>
  <si>
    <t>Time</t>
  </si>
  <si>
    <t>Distance miles</t>
  </si>
  <si>
    <t>Chowan Univ.</t>
  </si>
  <si>
    <t xml:space="preserve">Smith Univ. Center </t>
  </si>
  <si>
    <t>Florence, SC</t>
  </si>
  <si>
    <t>Sept. 13th</t>
  </si>
  <si>
    <t>Saturday</t>
  </si>
  <si>
    <t>Univ. of Mount Olive</t>
  </si>
  <si>
    <t>Kornegay Arena</t>
  </si>
  <si>
    <t>Mount Olive, NC</t>
  </si>
  <si>
    <t>Sept. 17th</t>
  </si>
  <si>
    <t>Wednesday</t>
  </si>
  <si>
    <t>Ferrum College</t>
  </si>
  <si>
    <t>Swartz Gymnasium</t>
  </si>
  <si>
    <t>Ferrum, VA</t>
  </si>
  <si>
    <t>Sept. 20th</t>
  </si>
  <si>
    <t>Converse Univ.</t>
  </si>
  <si>
    <t>Sept. 27th</t>
  </si>
  <si>
    <t>Barton College</t>
  </si>
  <si>
    <t>Wilson Gymnasium</t>
  </si>
  <si>
    <t>Wilson, NC</t>
  </si>
  <si>
    <t>Oct. 1st</t>
  </si>
  <si>
    <t>Young Harris College</t>
  </si>
  <si>
    <t>Oct. 4th</t>
  </si>
  <si>
    <t>English E. Jones Center</t>
  </si>
  <si>
    <t>Pembroke, NC</t>
  </si>
  <si>
    <t>Oct. 7th</t>
  </si>
  <si>
    <t>Tuesday</t>
  </si>
  <si>
    <t>Oct. 15th</t>
  </si>
  <si>
    <t>Oct. 18th</t>
  </si>
  <si>
    <t>Oct. 22nd</t>
  </si>
  <si>
    <t>Erskine College</t>
  </si>
  <si>
    <t>Belk Arena</t>
  </si>
  <si>
    <t>Due West, SC</t>
  </si>
  <si>
    <t>Oct. 25th</t>
  </si>
  <si>
    <t>Oct. 28th</t>
  </si>
  <si>
    <t xml:space="preserve">Hawks Athletic Center	</t>
  </si>
  <si>
    <t>Murfreesboro, NC</t>
  </si>
  <si>
    <t>Nov. 1st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</si>
</sst>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sz val="10.0"/>
      <color theme="0"/>
      <name val="Arial"/>
    </font>
    <font>
      <sz val="10.0"/>
      <color theme="1"/>
      <name val="Arial"/>
    </font>
    <font>
      <sz val="10.0"/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  <fill>
      <patternFill patternType="solid">
        <fgColor rgb="FFFCD668"/>
        <bgColor rgb="FFFCD668"/>
      </patternFill>
    </fill>
    <fill>
      <patternFill patternType="solid">
        <fgColor rgb="FF8DB5F8"/>
        <bgColor rgb="FF8DB5F8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left"/>
    </xf>
    <xf borderId="1" fillId="2" fontId="4" numFmtId="0" xfId="0" applyAlignment="1" applyBorder="1" applyFill="1" applyFont="1">
      <alignment horizontal="left"/>
    </xf>
    <xf borderId="1" fillId="3" fontId="4" numFmtId="0" xfId="0" applyAlignment="1" applyBorder="1" applyFill="1" applyFont="1">
      <alignment horizontal="left"/>
    </xf>
    <xf borderId="1" fillId="4" fontId="4" numFmtId="0" xfId="0" applyAlignment="1" applyBorder="1" applyFill="1" applyFont="1">
      <alignment horizontal="left"/>
    </xf>
    <xf borderId="0" fillId="0" fontId="4" numFmtId="0" xfId="0" applyFont="1"/>
    <xf borderId="0" fillId="0" fontId="3" numFmtId="0" xfId="0" applyAlignment="1" applyFont="1">
      <alignment horizontal="left"/>
    </xf>
    <xf borderId="0" fillId="0" fontId="5" numFmtId="0" xfId="0" applyAlignment="1" applyFont="1">
      <alignment horizontal="left"/>
    </xf>
    <xf borderId="0" fillId="0" fontId="3" numFmtId="18" xfId="0" applyAlignment="1" applyFont="1" applyNumberFormat="1">
      <alignment horizontal="left"/>
    </xf>
    <xf borderId="0" fillId="0" fontId="3" numFmtId="0" xfId="0" applyFont="1"/>
    <xf borderId="1" fillId="0" fontId="3" numFmtId="0" xfId="0" applyBorder="1" applyFont="1"/>
    <xf borderId="0" fillId="0" fontId="2" numFmtId="0" xfId="0" applyFont="1"/>
    <xf borderId="0" fillId="0" fontId="5" numFmtId="0" xfId="0" applyFont="1"/>
    <xf borderId="1" fillId="5" fontId="3" numFmtId="0" xfId="0" applyBorder="1" applyFill="1" applyFont="1"/>
    <xf borderId="2" fillId="6" fontId="3" numFmtId="0" xfId="0" applyBorder="1" applyFill="1" applyFont="1"/>
    <xf borderId="2" fillId="7" fontId="3" numFmtId="0" xfId="0" applyBorder="1" applyFill="1" applyFont="1"/>
    <xf borderId="2" fillId="8" fontId="3" numFmtId="0" xfId="0" applyBorder="1" applyFill="1" applyFont="1"/>
    <xf borderId="2" fillId="2" fontId="4" numFmtId="0" xfId="0" applyBorder="1" applyFont="1"/>
    <xf borderId="2" fillId="2" fontId="4" numFmtId="0" xfId="0" applyAlignment="1" applyBorder="1" applyFont="1">
      <alignment horizontal="left"/>
    </xf>
    <xf borderId="2" fillId="2" fontId="6" numFmtId="0" xfId="0" applyBorder="1" applyFont="1"/>
    <xf borderId="0" fillId="0" fontId="5" numFmtId="18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657975" cy="5257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161925</xdr:colOff>
      <xdr:row>98</xdr:row>
      <xdr:rowOff>19050</xdr:rowOff>
    </xdr:from>
    <xdr:ext cx="11344275" cy="18764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79</xdr:row>
      <xdr:rowOff>133350</xdr:rowOff>
    </xdr:from>
    <xdr:ext cx="11334750" cy="189547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161925</xdr:colOff>
      <xdr:row>99</xdr:row>
      <xdr:rowOff>19050</xdr:rowOff>
    </xdr:from>
    <xdr:ext cx="11468100" cy="18764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80</xdr:row>
      <xdr:rowOff>133350</xdr:rowOff>
    </xdr:from>
    <xdr:ext cx="11544300" cy="18954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16.13"/>
    <col customWidth="1" min="3" max="3" width="18.63"/>
    <col customWidth="1" min="4" max="4" width="8.63"/>
    <col customWidth="1" min="5" max="5" width="14.38"/>
    <col customWidth="1" min="6" max="8" width="8.63"/>
    <col customWidth="1" min="9" max="9" width="12.13"/>
    <col customWidth="1" min="10" max="10" width="13.88"/>
    <col customWidth="1" min="11" max="11" width="16.38"/>
    <col customWidth="1" min="12" max="12" width="11.38"/>
    <col customWidth="1" min="13" max="13" width="14.0"/>
    <col customWidth="1" min="14" max="14" width="8.63"/>
    <col customWidth="1" min="15" max="15" width="13.38"/>
    <col customWidth="1" min="16" max="16" width="11.0"/>
    <col customWidth="1" min="17" max="17" width="17.75"/>
    <col customWidth="1" min="18" max="18" width="8.63"/>
    <col customWidth="1" min="19" max="19" width="10.38"/>
    <col customWidth="1" min="20" max="26" width="8.63"/>
  </cols>
  <sheetData>
    <row r="1" ht="12.75" customHeight="1"/>
    <row r="2" ht="12.75" customHeight="1"/>
    <row r="3" ht="12.75" customHeight="1">
      <c r="C3" s="1" t="s">
        <v>0</v>
      </c>
    </row>
    <row r="4" ht="12.75" customHeight="1">
      <c r="A4" s="2"/>
      <c r="B4" s="2"/>
      <c r="C4" s="3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5" t="s">
        <v>8</v>
      </c>
      <c r="K4" s="5" t="s">
        <v>9</v>
      </c>
      <c r="L4" s="5" t="s">
        <v>10</v>
      </c>
      <c r="M4" s="5" t="s">
        <v>11</v>
      </c>
      <c r="N4" s="5" t="s">
        <v>12</v>
      </c>
      <c r="O4" s="6" t="s">
        <v>13</v>
      </c>
      <c r="P4" s="6" t="s">
        <v>14</v>
      </c>
      <c r="Q4" s="6" t="s">
        <v>15</v>
      </c>
      <c r="R4" s="6" t="s">
        <v>16</v>
      </c>
      <c r="S4" s="6" t="s">
        <v>17</v>
      </c>
    </row>
    <row r="5" ht="12.75" customHeight="1">
      <c r="C5" s="4" t="s">
        <v>2</v>
      </c>
      <c r="D5" s="3">
        <v>0.0</v>
      </c>
      <c r="E5" s="3">
        <v>0.0</v>
      </c>
      <c r="F5" s="3">
        <v>0.0</v>
      </c>
      <c r="G5" s="3">
        <v>0.0</v>
      </c>
      <c r="H5" s="3">
        <v>0.0</v>
      </c>
      <c r="I5" s="3">
        <v>0.0</v>
      </c>
      <c r="J5" s="3">
        <v>131.0</v>
      </c>
      <c r="K5" s="3">
        <v>206.0</v>
      </c>
      <c r="L5" s="3">
        <v>182.0</v>
      </c>
      <c r="M5" s="3">
        <v>233.0</v>
      </c>
      <c r="N5" s="3">
        <v>330.0</v>
      </c>
      <c r="O5" s="3">
        <v>302.0</v>
      </c>
      <c r="P5" s="3">
        <v>255.0</v>
      </c>
      <c r="Q5" s="3">
        <v>211.0</v>
      </c>
      <c r="R5" s="3">
        <v>187.0</v>
      </c>
      <c r="S5" s="3">
        <v>375.0</v>
      </c>
    </row>
    <row r="6" ht="12.75" customHeight="1">
      <c r="C6" s="4" t="s">
        <v>18</v>
      </c>
      <c r="D6" s="3">
        <v>0.0</v>
      </c>
      <c r="E6" s="3">
        <v>0.0</v>
      </c>
      <c r="F6" s="3">
        <v>0.0</v>
      </c>
      <c r="G6" s="3">
        <v>0.0</v>
      </c>
      <c r="H6" s="3">
        <v>0.0</v>
      </c>
      <c r="I6" s="3">
        <v>0.0</v>
      </c>
      <c r="J6" s="3">
        <v>131.0</v>
      </c>
      <c r="K6" s="3">
        <v>223.0</v>
      </c>
      <c r="L6" s="3">
        <v>190.0</v>
      </c>
      <c r="M6" s="3">
        <v>249.0</v>
      </c>
      <c r="N6" s="3">
        <v>307.0</v>
      </c>
      <c r="O6" s="3">
        <v>341.0</v>
      </c>
      <c r="P6" s="3">
        <v>295.0</v>
      </c>
      <c r="Q6" s="3">
        <v>253.0</v>
      </c>
      <c r="R6" s="3">
        <v>226.0</v>
      </c>
      <c r="S6" s="3">
        <v>414.0</v>
      </c>
    </row>
    <row r="7" ht="12.75" customHeight="1">
      <c r="C7" s="4" t="s">
        <v>19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  <c r="I7" s="3">
        <v>0.0</v>
      </c>
      <c r="J7" s="3">
        <v>272.0</v>
      </c>
      <c r="K7" s="3">
        <v>364.0</v>
      </c>
      <c r="L7" s="3">
        <v>331.0</v>
      </c>
      <c r="M7" s="3">
        <v>302.0</v>
      </c>
      <c r="N7" s="3">
        <v>355.0</v>
      </c>
      <c r="O7" s="3">
        <v>452.0</v>
      </c>
      <c r="P7" s="3">
        <v>428.0</v>
      </c>
      <c r="Q7" s="3">
        <v>386.0</v>
      </c>
      <c r="R7" s="3">
        <v>417.0</v>
      </c>
      <c r="S7" s="3">
        <v>561.0</v>
      </c>
    </row>
    <row r="8" ht="12.75" customHeight="1">
      <c r="C8" s="4" t="s">
        <v>20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170.0</v>
      </c>
      <c r="K8" s="3">
        <v>244.0</v>
      </c>
      <c r="L8" s="3">
        <v>229.0</v>
      </c>
      <c r="M8" s="3">
        <v>161.0</v>
      </c>
      <c r="N8" s="3">
        <v>149.0</v>
      </c>
      <c r="O8" s="3">
        <v>338.0</v>
      </c>
      <c r="P8" s="3">
        <v>326.0</v>
      </c>
      <c r="Q8" s="3">
        <v>284.0</v>
      </c>
      <c r="R8" s="3">
        <v>298.0</v>
      </c>
      <c r="S8" s="3">
        <v>434.0</v>
      </c>
    </row>
    <row r="9" ht="12.75" customHeight="1">
      <c r="C9" s="4" t="s">
        <v>21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222.0</v>
      </c>
      <c r="K9" s="3">
        <v>314.0</v>
      </c>
      <c r="L9" s="3">
        <v>280.0</v>
      </c>
      <c r="M9" s="3">
        <v>252.0</v>
      </c>
      <c r="N9" s="3">
        <v>305.0</v>
      </c>
      <c r="O9" s="3">
        <v>401.0</v>
      </c>
      <c r="P9" s="3">
        <v>377.0</v>
      </c>
      <c r="Q9" s="3">
        <v>335.0</v>
      </c>
      <c r="R9" s="3">
        <v>333.0</v>
      </c>
      <c r="S9" s="3">
        <v>511.0</v>
      </c>
    </row>
    <row r="10" ht="12.75" customHeight="1">
      <c r="C10" s="4" t="s">
        <v>22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233.0</v>
      </c>
      <c r="K10" s="3">
        <v>325.0</v>
      </c>
      <c r="L10" s="3">
        <v>292.0</v>
      </c>
      <c r="M10" s="3">
        <v>270.0</v>
      </c>
      <c r="N10" s="3">
        <v>324.0</v>
      </c>
      <c r="O10" s="3">
        <v>420.0</v>
      </c>
      <c r="P10" s="3">
        <v>379.0</v>
      </c>
      <c r="Q10" s="3">
        <v>336.0</v>
      </c>
      <c r="R10" s="3">
        <v>310.0</v>
      </c>
      <c r="S10" s="3">
        <v>497.0</v>
      </c>
    </row>
    <row r="11" ht="12.75" customHeight="1">
      <c r="C11" s="5" t="s">
        <v>8</v>
      </c>
      <c r="D11" s="3">
        <v>131.0</v>
      </c>
      <c r="E11" s="3">
        <v>131.0</v>
      </c>
      <c r="F11" s="3">
        <v>272.0</v>
      </c>
      <c r="G11" s="3">
        <v>170.0</v>
      </c>
      <c r="H11" s="3">
        <v>222.0</v>
      </c>
      <c r="I11" s="3">
        <v>233.0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202.0</v>
      </c>
      <c r="P11" s="3">
        <v>154.0</v>
      </c>
      <c r="Q11" s="3">
        <v>114.0</v>
      </c>
      <c r="R11" s="3">
        <v>129.0</v>
      </c>
      <c r="S11" s="3">
        <v>290.0</v>
      </c>
    </row>
    <row r="12" ht="12.75" customHeight="1">
      <c r="C12" s="5" t="s">
        <v>9</v>
      </c>
      <c r="D12" s="3">
        <v>206.0</v>
      </c>
      <c r="E12" s="3">
        <v>223.0</v>
      </c>
      <c r="F12" s="3">
        <v>364.0</v>
      </c>
      <c r="G12" s="3">
        <v>244.0</v>
      </c>
      <c r="H12" s="3">
        <v>314.0</v>
      </c>
      <c r="I12" s="3">
        <v>325.0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113.0</v>
      </c>
      <c r="P12" s="3">
        <v>86.5</v>
      </c>
      <c r="Q12" s="3">
        <v>39.5</v>
      </c>
      <c r="R12" s="3">
        <v>61.9</v>
      </c>
      <c r="S12" s="3">
        <v>222.0</v>
      </c>
    </row>
    <row r="13" ht="12.75" customHeight="1">
      <c r="C13" s="5" t="s">
        <v>10</v>
      </c>
      <c r="D13" s="3">
        <v>182.0</v>
      </c>
      <c r="E13" s="3">
        <v>190.0</v>
      </c>
      <c r="F13" s="3">
        <v>331.0</v>
      </c>
      <c r="G13" s="3">
        <v>229.0</v>
      </c>
      <c r="H13" s="3">
        <v>280.0</v>
      </c>
      <c r="I13" s="3">
        <v>292.0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146.0</v>
      </c>
      <c r="P13" s="3">
        <v>98.3</v>
      </c>
      <c r="Q13" s="3">
        <v>58.3</v>
      </c>
      <c r="R13" s="3">
        <v>73.7</v>
      </c>
      <c r="S13" s="3">
        <v>234.0</v>
      </c>
    </row>
    <row r="14" ht="12.75" customHeight="1">
      <c r="C14" s="5" t="s">
        <v>11</v>
      </c>
      <c r="D14" s="3">
        <v>233.0</v>
      </c>
      <c r="E14" s="3">
        <v>249.0</v>
      </c>
      <c r="F14" s="3">
        <v>302.0</v>
      </c>
      <c r="G14" s="3">
        <v>161.0</v>
      </c>
      <c r="H14" s="3">
        <v>252.0</v>
      </c>
      <c r="I14" s="3">
        <v>270.0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184.0</v>
      </c>
      <c r="P14" s="3">
        <v>204.0</v>
      </c>
      <c r="Q14" s="3">
        <v>155.0</v>
      </c>
      <c r="R14" s="3">
        <v>177.0</v>
      </c>
      <c r="S14" s="3">
        <v>316.0</v>
      </c>
    </row>
    <row r="15" ht="12.75" customHeight="1">
      <c r="C15" s="5" t="s">
        <v>12</v>
      </c>
      <c r="D15" s="3">
        <v>330.0</v>
      </c>
      <c r="E15" s="3">
        <v>307.0</v>
      </c>
      <c r="F15" s="3">
        <v>355.0</v>
      </c>
      <c r="G15" s="3">
        <v>149.0</v>
      </c>
      <c r="H15" s="3">
        <v>305.0</v>
      </c>
      <c r="I15" s="3">
        <v>324.0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195.0</v>
      </c>
      <c r="P15" s="3">
        <v>217.0</v>
      </c>
      <c r="Q15" s="3">
        <v>167.0</v>
      </c>
      <c r="R15" s="3">
        <v>190.0</v>
      </c>
      <c r="S15" s="3">
        <v>288.0</v>
      </c>
    </row>
    <row r="16" ht="12.75" customHeight="1">
      <c r="C16" s="6" t="s">
        <v>23</v>
      </c>
      <c r="D16" s="3">
        <v>302.0</v>
      </c>
      <c r="E16" s="3">
        <v>341.0</v>
      </c>
      <c r="F16" s="3">
        <v>452.0</v>
      </c>
      <c r="G16" s="3">
        <v>338.0</v>
      </c>
      <c r="H16" s="3">
        <v>401.0</v>
      </c>
      <c r="I16" s="3">
        <v>420.0</v>
      </c>
      <c r="J16" s="3">
        <v>202.0</v>
      </c>
      <c r="K16" s="3">
        <v>113.0</v>
      </c>
      <c r="L16" s="3">
        <v>146.0</v>
      </c>
      <c r="M16" s="3">
        <v>184.0</v>
      </c>
      <c r="N16" s="3">
        <v>195.0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</row>
    <row r="17" ht="12.75" customHeight="1">
      <c r="C17" s="6" t="s">
        <v>14</v>
      </c>
      <c r="D17" s="3">
        <v>255.0</v>
      </c>
      <c r="E17" s="3">
        <v>295.0</v>
      </c>
      <c r="F17" s="3">
        <v>428.0</v>
      </c>
      <c r="G17" s="3">
        <v>326.0</v>
      </c>
      <c r="H17" s="3">
        <v>377.0</v>
      </c>
      <c r="I17" s="3">
        <v>379.0</v>
      </c>
      <c r="J17" s="3">
        <v>154.0</v>
      </c>
      <c r="K17" s="3">
        <v>86.5</v>
      </c>
      <c r="L17" s="3">
        <v>98.3</v>
      </c>
      <c r="M17" s="3">
        <v>204.0</v>
      </c>
      <c r="N17" s="3">
        <v>217.0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</row>
    <row r="18" ht="12.75" customHeight="1">
      <c r="C18" s="6" t="s">
        <v>15</v>
      </c>
      <c r="D18" s="3">
        <v>211.0</v>
      </c>
      <c r="E18" s="3">
        <v>253.0</v>
      </c>
      <c r="F18" s="3">
        <v>386.0</v>
      </c>
      <c r="G18" s="3">
        <v>284.0</v>
      </c>
      <c r="H18" s="3">
        <v>335.0</v>
      </c>
      <c r="I18" s="3">
        <v>336.0</v>
      </c>
      <c r="J18" s="3">
        <v>114.0</v>
      </c>
      <c r="K18" s="3">
        <v>39.5</v>
      </c>
      <c r="L18" s="3">
        <v>58.3</v>
      </c>
      <c r="M18" s="3">
        <v>155.0</v>
      </c>
      <c r="N18" s="3">
        <v>167.0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</row>
    <row r="19" ht="12.75" customHeight="1">
      <c r="C19" s="6" t="s">
        <v>16</v>
      </c>
      <c r="D19" s="3">
        <v>187.0</v>
      </c>
      <c r="E19" s="3">
        <v>226.0</v>
      </c>
      <c r="F19" s="3">
        <v>417.0</v>
      </c>
      <c r="G19" s="3">
        <v>298.0</v>
      </c>
      <c r="H19" s="3">
        <v>333.0</v>
      </c>
      <c r="I19" s="3">
        <v>310.0</v>
      </c>
      <c r="J19" s="3">
        <v>129.0</v>
      </c>
      <c r="K19" s="3">
        <v>61.9</v>
      </c>
      <c r="L19" s="3">
        <v>73.7</v>
      </c>
      <c r="M19" s="3">
        <v>177.0</v>
      </c>
      <c r="N19" s="3">
        <v>190.0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</row>
    <row r="20" ht="12.75" customHeight="1">
      <c r="C20" s="6" t="s">
        <v>17</v>
      </c>
      <c r="D20" s="3">
        <v>375.0</v>
      </c>
      <c r="E20" s="3">
        <v>414.0</v>
      </c>
      <c r="F20" s="3">
        <v>561.0</v>
      </c>
      <c r="G20" s="3">
        <v>434.0</v>
      </c>
      <c r="H20" s="3">
        <v>511.0</v>
      </c>
      <c r="I20" s="3">
        <v>497.0</v>
      </c>
      <c r="J20" s="3">
        <v>290.0</v>
      </c>
      <c r="K20" s="3">
        <v>222.0</v>
      </c>
      <c r="L20" s="3">
        <v>234.0</v>
      </c>
      <c r="M20" s="3">
        <v>316.0</v>
      </c>
      <c r="N20" s="3">
        <v>288.0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</row>
    <row r="21" ht="12.75" customHeight="1">
      <c r="C21" s="7"/>
    </row>
    <row r="22" ht="12.75" customHeight="1">
      <c r="B22" s="1" t="s">
        <v>24</v>
      </c>
      <c r="C22" s="8">
        <v>0.0</v>
      </c>
      <c r="D22" s="8">
        <v>0.0</v>
      </c>
      <c r="E22" s="8">
        <v>0.0</v>
      </c>
      <c r="F22" s="8">
        <v>0.0</v>
      </c>
      <c r="G22" s="8">
        <v>0.0</v>
      </c>
      <c r="H22" s="8">
        <v>0.0</v>
      </c>
      <c r="I22" s="8">
        <v>131.0</v>
      </c>
      <c r="J22" s="8">
        <v>206.0</v>
      </c>
      <c r="K22" s="8">
        <v>182.0</v>
      </c>
      <c r="L22" s="8">
        <v>233.0</v>
      </c>
      <c r="M22" s="8">
        <v>330.0</v>
      </c>
      <c r="N22" s="8">
        <v>302.0</v>
      </c>
      <c r="O22" s="8">
        <v>255.0</v>
      </c>
      <c r="P22" s="8">
        <v>211.0</v>
      </c>
      <c r="Q22" s="8">
        <v>187.0</v>
      </c>
      <c r="R22" s="8">
        <v>375.0</v>
      </c>
    </row>
    <row r="23" ht="12.75" customHeight="1">
      <c r="C23" s="8">
        <v>0.0</v>
      </c>
      <c r="D23" s="8">
        <v>0.0</v>
      </c>
      <c r="E23" s="8">
        <v>0.0</v>
      </c>
      <c r="F23" s="8">
        <v>0.0</v>
      </c>
      <c r="G23" s="8">
        <v>0.0</v>
      </c>
      <c r="H23" s="8">
        <v>0.0</v>
      </c>
      <c r="I23" s="8">
        <v>131.0</v>
      </c>
      <c r="J23" s="8">
        <v>223.0</v>
      </c>
      <c r="K23" s="8">
        <v>190.0</v>
      </c>
      <c r="L23" s="8">
        <v>249.0</v>
      </c>
      <c r="M23" s="8">
        <v>307.0</v>
      </c>
      <c r="N23" s="8">
        <v>341.0</v>
      </c>
      <c r="O23" s="8">
        <v>295.0</v>
      </c>
      <c r="P23" s="8">
        <v>253.0</v>
      </c>
      <c r="Q23" s="8">
        <v>226.0</v>
      </c>
      <c r="R23" s="8">
        <v>414.0</v>
      </c>
    </row>
    <row r="24" ht="12.75" customHeight="1">
      <c r="C24" s="8">
        <v>0.0</v>
      </c>
      <c r="D24" s="8">
        <v>0.0</v>
      </c>
      <c r="E24" s="8">
        <v>0.0</v>
      </c>
      <c r="F24" s="8">
        <v>0.0</v>
      </c>
      <c r="G24" s="8">
        <v>0.0</v>
      </c>
      <c r="H24" s="8">
        <v>0.0</v>
      </c>
      <c r="I24" s="8">
        <v>272.0</v>
      </c>
      <c r="J24" s="8">
        <v>364.0</v>
      </c>
      <c r="K24" s="8">
        <v>331.0</v>
      </c>
      <c r="L24" s="8">
        <v>302.0</v>
      </c>
      <c r="M24" s="8">
        <v>355.0</v>
      </c>
      <c r="N24" s="8">
        <v>452.0</v>
      </c>
      <c r="O24" s="8">
        <v>428.0</v>
      </c>
      <c r="P24" s="8">
        <v>386.0</v>
      </c>
      <c r="Q24" s="8">
        <v>417.0</v>
      </c>
      <c r="R24" s="8">
        <v>561.0</v>
      </c>
    </row>
    <row r="25" ht="12.75" customHeight="1">
      <c r="C25" s="8">
        <v>0.0</v>
      </c>
      <c r="D25" s="8">
        <v>0.0</v>
      </c>
      <c r="E25" s="8">
        <v>0.0</v>
      </c>
      <c r="F25" s="8">
        <v>0.0</v>
      </c>
      <c r="G25" s="8">
        <v>0.0</v>
      </c>
      <c r="H25" s="8">
        <v>0.0</v>
      </c>
      <c r="I25" s="8">
        <v>170.0</v>
      </c>
      <c r="J25" s="8">
        <v>244.0</v>
      </c>
      <c r="K25" s="8">
        <v>229.0</v>
      </c>
      <c r="L25" s="8">
        <v>161.0</v>
      </c>
      <c r="M25" s="8">
        <v>149.0</v>
      </c>
      <c r="N25" s="8">
        <v>338.0</v>
      </c>
      <c r="O25" s="8">
        <v>326.0</v>
      </c>
      <c r="P25" s="8">
        <v>284.0</v>
      </c>
      <c r="Q25" s="8">
        <v>298.0</v>
      </c>
      <c r="R25" s="8">
        <v>434.0</v>
      </c>
    </row>
    <row r="26" ht="12.75" customHeight="1">
      <c r="C26" s="8">
        <v>0.0</v>
      </c>
      <c r="D26" s="8">
        <v>0.0</v>
      </c>
      <c r="E26" s="8">
        <v>0.0</v>
      </c>
      <c r="F26" s="8">
        <v>0.0</v>
      </c>
      <c r="G26" s="8">
        <v>0.0</v>
      </c>
      <c r="H26" s="8">
        <v>0.0</v>
      </c>
      <c r="I26" s="8">
        <v>222.0</v>
      </c>
      <c r="J26" s="8">
        <v>314.0</v>
      </c>
      <c r="K26" s="8">
        <v>280.0</v>
      </c>
      <c r="L26" s="8">
        <v>252.0</v>
      </c>
      <c r="M26" s="8">
        <v>305.0</v>
      </c>
      <c r="N26" s="8">
        <v>401.0</v>
      </c>
      <c r="O26" s="8">
        <v>377.0</v>
      </c>
      <c r="P26" s="8">
        <v>335.0</v>
      </c>
      <c r="Q26" s="8">
        <v>333.0</v>
      </c>
      <c r="R26" s="8">
        <v>511.0</v>
      </c>
    </row>
    <row r="27" ht="12.75" customHeight="1">
      <c r="C27" s="8">
        <v>0.0</v>
      </c>
      <c r="D27" s="8">
        <v>0.0</v>
      </c>
      <c r="E27" s="8">
        <v>0.0</v>
      </c>
      <c r="F27" s="8">
        <v>0.0</v>
      </c>
      <c r="G27" s="8">
        <v>0.0</v>
      </c>
      <c r="H27" s="8">
        <v>0.0</v>
      </c>
      <c r="I27" s="8">
        <v>233.0</v>
      </c>
      <c r="J27" s="8">
        <v>325.0</v>
      </c>
      <c r="K27" s="8">
        <v>292.0</v>
      </c>
      <c r="L27" s="8">
        <v>270.0</v>
      </c>
      <c r="M27" s="8">
        <v>324.0</v>
      </c>
      <c r="N27" s="8">
        <v>420.0</v>
      </c>
      <c r="O27" s="8">
        <v>379.0</v>
      </c>
      <c r="P27" s="8">
        <v>336.0</v>
      </c>
      <c r="Q27" s="8">
        <v>310.0</v>
      </c>
      <c r="R27" s="8">
        <v>497.0</v>
      </c>
    </row>
    <row r="28" ht="12.75" customHeight="1">
      <c r="C28" s="8">
        <v>131.0</v>
      </c>
      <c r="D28" s="8">
        <v>131.0</v>
      </c>
      <c r="E28" s="8">
        <v>272.0</v>
      </c>
      <c r="F28" s="8">
        <v>170.0</v>
      </c>
      <c r="G28" s="8">
        <v>222.0</v>
      </c>
      <c r="H28" s="8">
        <v>233.0</v>
      </c>
      <c r="I28" s="8">
        <v>0.0</v>
      </c>
      <c r="J28" s="8">
        <v>0.0</v>
      </c>
      <c r="K28" s="8">
        <v>0.0</v>
      </c>
      <c r="L28" s="8">
        <v>0.0</v>
      </c>
      <c r="M28" s="8">
        <v>0.0</v>
      </c>
      <c r="N28" s="8">
        <v>202.0</v>
      </c>
      <c r="O28" s="8">
        <v>154.0</v>
      </c>
      <c r="P28" s="8">
        <v>114.0</v>
      </c>
      <c r="Q28" s="8">
        <v>129.0</v>
      </c>
      <c r="R28" s="8">
        <v>290.0</v>
      </c>
    </row>
    <row r="29" ht="12.75" customHeight="1">
      <c r="C29" s="8">
        <v>206.0</v>
      </c>
      <c r="D29" s="8">
        <v>223.0</v>
      </c>
      <c r="E29" s="8">
        <v>364.0</v>
      </c>
      <c r="F29" s="8">
        <v>244.0</v>
      </c>
      <c r="G29" s="8">
        <v>314.0</v>
      </c>
      <c r="H29" s="8">
        <v>325.0</v>
      </c>
      <c r="I29" s="8">
        <v>0.0</v>
      </c>
      <c r="J29" s="8">
        <v>0.0</v>
      </c>
      <c r="K29" s="8">
        <v>0.0</v>
      </c>
      <c r="L29" s="8">
        <v>0.0</v>
      </c>
      <c r="M29" s="8">
        <v>0.0</v>
      </c>
      <c r="N29" s="8">
        <v>113.0</v>
      </c>
      <c r="O29" s="8">
        <v>86.5</v>
      </c>
      <c r="P29" s="8">
        <v>39.5</v>
      </c>
      <c r="Q29" s="8">
        <v>61.9</v>
      </c>
      <c r="R29" s="8">
        <v>222.0</v>
      </c>
    </row>
    <row r="30" ht="12.75" customHeight="1">
      <c r="C30" s="8">
        <v>182.0</v>
      </c>
      <c r="D30" s="8">
        <v>190.0</v>
      </c>
      <c r="E30" s="8">
        <v>331.0</v>
      </c>
      <c r="F30" s="8">
        <v>229.0</v>
      </c>
      <c r="G30" s="8">
        <v>280.0</v>
      </c>
      <c r="H30" s="8">
        <v>292.0</v>
      </c>
      <c r="I30" s="8">
        <v>0.0</v>
      </c>
      <c r="J30" s="8">
        <v>0.0</v>
      </c>
      <c r="K30" s="8">
        <v>0.0</v>
      </c>
      <c r="L30" s="8">
        <v>0.0</v>
      </c>
      <c r="M30" s="8">
        <v>0.0</v>
      </c>
      <c r="N30" s="8">
        <v>146.0</v>
      </c>
      <c r="O30" s="8">
        <v>98.3</v>
      </c>
      <c r="P30" s="8">
        <v>58.3</v>
      </c>
      <c r="Q30" s="8">
        <v>73.7</v>
      </c>
      <c r="R30" s="8">
        <v>234.0</v>
      </c>
    </row>
    <row r="31" ht="12.75" customHeight="1">
      <c r="C31" s="8">
        <v>233.0</v>
      </c>
      <c r="D31" s="8">
        <v>249.0</v>
      </c>
      <c r="E31" s="8">
        <v>302.0</v>
      </c>
      <c r="F31" s="8">
        <v>161.0</v>
      </c>
      <c r="G31" s="8">
        <v>252.0</v>
      </c>
      <c r="H31" s="8">
        <v>270.0</v>
      </c>
      <c r="I31" s="8">
        <v>0.0</v>
      </c>
      <c r="J31" s="8">
        <v>0.0</v>
      </c>
      <c r="K31" s="8">
        <v>0.0</v>
      </c>
      <c r="L31" s="8">
        <v>0.0</v>
      </c>
      <c r="M31" s="8">
        <v>0.0</v>
      </c>
      <c r="N31" s="8">
        <v>184.0</v>
      </c>
      <c r="O31" s="8">
        <v>204.0</v>
      </c>
      <c r="P31" s="8">
        <v>155.0</v>
      </c>
      <c r="Q31" s="8">
        <v>177.0</v>
      </c>
      <c r="R31" s="8">
        <v>316.0</v>
      </c>
    </row>
    <row r="32" ht="12.75" customHeight="1">
      <c r="C32" s="8">
        <v>330.0</v>
      </c>
      <c r="D32" s="8">
        <v>307.0</v>
      </c>
      <c r="E32" s="8">
        <v>355.0</v>
      </c>
      <c r="F32" s="8">
        <v>149.0</v>
      </c>
      <c r="G32" s="8">
        <v>305.0</v>
      </c>
      <c r="H32" s="8">
        <v>324.0</v>
      </c>
      <c r="I32" s="8">
        <v>0.0</v>
      </c>
      <c r="J32" s="8">
        <v>0.0</v>
      </c>
      <c r="K32" s="8">
        <v>0.0</v>
      </c>
      <c r="L32" s="8">
        <v>0.0</v>
      </c>
      <c r="M32" s="8">
        <v>0.0</v>
      </c>
      <c r="N32" s="8">
        <v>195.0</v>
      </c>
      <c r="O32" s="8">
        <v>217.0</v>
      </c>
      <c r="P32" s="8">
        <v>167.0</v>
      </c>
      <c r="Q32" s="8">
        <v>190.0</v>
      </c>
      <c r="R32" s="8">
        <v>288.0</v>
      </c>
    </row>
    <row r="33" ht="12.75" customHeight="1">
      <c r="C33" s="8">
        <v>302.0</v>
      </c>
      <c r="D33" s="8">
        <v>341.0</v>
      </c>
      <c r="E33" s="8">
        <v>452.0</v>
      </c>
      <c r="F33" s="8">
        <v>338.0</v>
      </c>
      <c r="G33" s="8">
        <v>401.0</v>
      </c>
      <c r="H33" s="8">
        <v>420.0</v>
      </c>
      <c r="I33" s="8">
        <v>202.0</v>
      </c>
      <c r="J33" s="8">
        <v>113.0</v>
      </c>
      <c r="K33" s="8">
        <v>146.0</v>
      </c>
      <c r="L33" s="8">
        <v>184.0</v>
      </c>
      <c r="M33" s="8">
        <v>195.0</v>
      </c>
      <c r="N33" s="8">
        <v>0.0</v>
      </c>
      <c r="O33" s="8">
        <v>0.0</v>
      </c>
      <c r="P33" s="8">
        <v>0.0</v>
      </c>
      <c r="Q33" s="8">
        <v>0.0</v>
      </c>
      <c r="R33" s="8">
        <v>0.0</v>
      </c>
    </row>
    <row r="34" ht="12.75" customHeight="1">
      <c r="C34" s="8">
        <v>255.0</v>
      </c>
      <c r="D34" s="8">
        <v>295.0</v>
      </c>
      <c r="E34" s="8">
        <v>428.0</v>
      </c>
      <c r="F34" s="8">
        <v>326.0</v>
      </c>
      <c r="G34" s="8">
        <v>377.0</v>
      </c>
      <c r="H34" s="8">
        <v>379.0</v>
      </c>
      <c r="I34" s="8">
        <v>154.0</v>
      </c>
      <c r="J34" s="8">
        <v>86.5</v>
      </c>
      <c r="K34" s="8">
        <v>98.3</v>
      </c>
      <c r="L34" s="8">
        <v>204.0</v>
      </c>
      <c r="M34" s="8">
        <v>217.0</v>
      </c>
      <c r="N34" s="8">
        <v>0.0</v>
      </c>
      <c r="O34" s="8">
        <v>0.0</v>
      </c>
      <c r="P34" s="8">
        <v>0.0</v>
      </c>
      <c r="Q34" s="8">
        <v>0.0</v>
      </c>
      <c r="R34" s="8">
        <v>0.0</v>
      </c>
    </row>
    <row r="35" ht="12.75" customHeight="1">
      <c r="C35" s="8">
        <v>211.0</v>
      </c>
      <c r="D35" s="8">
        <v>253.0</v>
      </c>
      <c r="E35" s="8">
        <v>386.0</v>
      </c>
      <c r="F35" s="8">
        <v>284.0</v>
      </c>
      <c r="G35" s="8">
        <v>335.0</v>
      </c>
      <c r="H35" s="8">
        <v>336.0</v>
      </c>
      <c r="I35" s="8">
        <v>114.0</v>
      </c>
      <c r="J35" s="8">
        <v>39.5</v>
      </c>
      <c r="K35" s="8">
        <v>58.3</v>
      </c>
      <c r="L35" s="8">
        <v>155.0</v>
      </c>
      <c r="M35" s="8">
        <v>167.0</v>
      </c>
      <c r="N35" s="8">
        <v>0.0</v>
      </c>
      <c r="O35" s="8">
        <v>0.0</v>
      </c>
      <c r="P35" s="8">
        <v>0.0</v>
      </c>
      <c r="Q35" s="8">
        <v>0.0</v>
      </c>
      <c r="R35" s="8">
        <v>0.0</v>
      </c>
    </row>
    <row r="36" ht="12.75" customHeight="1">
      <c r="C36" s="8">
        <v>187.0</v>
      </c>
      <c r="D36" s="8">
        <v>226.0</v>
      </c>
      <c r="E36" s="8">
        <v>417.0</v>
      </c>
      <c r="F36" s="8">
        <v>298.0</v>
      </c>
      <c r="G36" s="8">
        <v>333.0</v>
      </c>
      <c r="H36" s="8">
        <v>310.0</v>
      </c>
      <c r="I36" s="8">
        <v>129.0</v>
      </c>
      <c r="J36" s="8">
        <v>61.9</v>
      </c>
      <c r="K36" s="8">
        <v>73.7</v>
      </c>
      <c r="L36" s="8">
        <v>177.0</v>
      </c>
      <c r="M36" s="8">
        <v>190.0</v>
      </c>
      <c r="N36" s="8">
        <v>0.0</v>
      </c>
      <c r="O36" s="8">
        <v>0.0</v>
      </c>
      <c r="P36" s="8">
        <v>0.0</v>
      </c>
      <c r="Q36" s="8">
        <v>0.0</v>
      </c>
      <c r="R36" s="8">
        <v>0.0</v>
      </c>
    </row>
    <row r="37" ht="12.75" customHeight="1">
      <c r="C37" s="8">
        <v>375.0</v>
      </c>
      <c r="D37" s="8">
        <v>414.0</v>
      </c>
      <c r="E37" s="8">
        <v>561.0</v>
      </c>
      <c r="F37" s="8">
        <v>434.0</v>
      </c>
      <c r="G37" s="8">
        <v>511.0</v>
      </c>
      <c r="H37" s="8">
        <v>497.0</v>
      </c>
      <c r="I37" s="8">
        <v>290.0</v>
      </c>
      <c r="J37" s="8">
        <v>222.0</v>
      </c>
      <c r="K37" s="8">
        <v>234.0</v>
      </c>
      <c r="L37" s="8">
        <v>316.0</v>
      </c>
      <c r="M37" s="8">
        <v>288.0</v>
      </c>
      <c r="N37" s="8">
        <v>0.0</v>
      </c>
      <c r="O37" s="8">
        <v>0.0</v>
      </c>
      <c r="P37" s="8">
        <v>0.0</v>
      </c>
      <c r="Q37" s="8">
        <v>0.0</v>
      </c>
      <c r="R37" s="8">
        <v>0.0</v>
      </c>
    </row>
    <row r="38" ht="12.75" customHeight="1">
      <c r="C38" s="8"/>
      <c r="D38" s="8"/>
      <c r="E38" s="9"/>
      <c r="F38" s="9"/>
      <c r="G38" s="8"/>
      <c r="H38" s="8"/>
      <c r="I38" s="10"/>
      <c r="J38" s="8"/>
      <c r="K38" s="8"/>
      <c r="L38" s="8"/>
      <c r="M38" s="8"/>
      <c r="N38" s="8"/>
      <c r="O38" s="8"/>
      <c r="P38" s="8"/>
      <c r="Q38" s="8"/>
      <c r="R38" s="8"/>
    </row>
    <row r="39" ht="12.75" customHeight="1">
      <c r="A39" s="11" t="s">
        <v>25</v>
      </c>
    </row>
    <row r="40" ht="12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ht="12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ht="12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ht="12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ht="12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ht="12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ht="12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ht="12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ht="12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ht="12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</row>
    <row r="50" ht="12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</row>
    <row r="51" ht="12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 ht="12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</row>
    <row r="53" ht="12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ht="12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 ht="12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</row>
    <row r="56" ht="12.75" customHeight="1"/>
    <row r="57" ht="12.75" customHeight="1">
      <c r="A57" s="13" t="s">
        <v>26</v>
      </c>
      <c r="B57" s="13">
        <f>SUMPRODUCT(DistanceMatrix,DecisionMatrix)</f>
        <v>0</v>
      </c>
    </row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5.63"/>
    <col customWidth="1" min="3" max="17" width="6.63"/>
    <col customWidth="1" min="18" max="18" width="8.63"/>
    <col customWidth="1" min="19" max="19" width="10.38"/>
    <col customWidth="1" min="20" max="20" width="8.63"/>
    <col customWidth="1" min="21" max="21" width="15.63"/>
  </cols>
  <sheetData>
    <row r="1" ht="12.75" customHeight="1"/>
    <row r="2" ht="12.75" customHeigh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</row>
    <row r="3" ht="12.75" customHeight="1">
      <c r="A3" s="4" t="s">
        <v>2</v>
      </c>
      <c r="B3" s="3">
        <v>0.0</v>
      </c>
      <c r="C3" s="3">
        <v>0.0</v>
      </c>
      <c r="D3" s="3">
        <v>0.0</v>
      </c>
      <c r="E3" s="3">
        <v>0.0</v>
      </c>
      <c r="F3" s="3">
        <v>0.0</v>
      </c>
      <c r="G3" s="3">
        <v>0.0</v>
      </c>
      <c r="H3" s="3">
        <v>131.0</v>
      </c>
      <c r="I3" s="3">
        <v>206.0</v>
      </c>
      <c r="J3" s="3">
        <v>182.0</v>
      </c>
      <c r="K3" s="3">
        <v>233.0</v>
      </c>
      <c r="L3" s="3">
        <v>330.0</v>
      </c>
      <c r="M3" s="3">
        <v>302.0</v>
      </c>
      <c r="N3" s="3">
        <v>255.0</v>
      </c>
      <c r="O3" s="3">
        <v>211.0</v>
      </c>
      <c r="P3" s="3">
        <v>187.0</v>
      </c>
      <c r="Q3" s="3">
        <v>375.0</v>
      </c>
    </row>
    <row r="4" ht="12.75" customHeight="1">
      <c r="A4" s="4" t="s">
        <v>18</v>
      </c>
      <c r="B4" s="3">
        <v>0.0</v>
      </c>
      <c r="C4" s="3">
        <v>0.0</v>
      </c>
      <c r="D4" s="3">
        <v>0.0</v>
      </c>
      <c r="E4" s="3">
        <v>0.0</v>
      </c>
      <c r="F4" s="3">
        <v>0.0</v>
      </c>
      <c r="G4" s="3">
        <v>0.0</v>
      </c>
      <c r="H4" s="3">
        <v>131.0</v>
      </c>
      <c r="I4" s="3">
        <v>223.0</v>
      </c>
      <c r="J4" s="3">
        <v>190.0</v>
      </c>
      <c r="K4" s="3">
        <v>249.0</v>
      </c>
      <c r="L4" s="3">
        <v>307.0</v>
      </c>
      <c r="M4" s="3">
        <v>341.0</v>
      </c>
      <c r="N4" s="3">
        <v>295.0</v>
      </c>
      <c r="O4" s="3">
        <v>253.0</v>
      </c>
      <c r="P4" s="3">
        <v>226.0</v>
      </c>
      <c r="Q4" s="3">
        <v>414.0</v>
      </c>
    </row>
    <row r="5" ht="12.75" customHeight="1">
      <c r="A5" s="4" t="s">
        <v>19</v>
      </c>
      <c r="B5" s="3">
        <v>0.0</v>
      </c>
      <c r="C5" s="3">
        <v>0.0</v>
      </c>
      <c r="D5" s="3">
        <v>0.0</v>
      </c>
      <c r="E5" s="3">
        <v>0.0</v>
      </c>
      <c r="F5" s="3">
        <v>0.0</v>
      </c>
      <c r="G5" s="3">
        <v>0.0</v>
      </c>
      <c r="H5" s="3">
        <v>272.0</v>
      </c>
      <c r="I5" s="3">
        <v>364.0</v>
      </c>
      <c r="J5" s="3">
        <v>331.0</v>
      </c>
      <c r="K5" s="3">
        <v>302.0</v>
      </c>
      <c r="L5" s="3">
        <v>355.0</v>
      </c>
      <c r="M5" s="3">
        <v>452.0</v>
      </c>
      <c r="N5" s="3">
        <v>428.0</v>
      </c>
      <c r="O5" s="3">
        <v>386.0</v>
      </c>
      <c r="P5" s="3">
        <v>417.0</v>
      </c>
      <c r="Q5" s="3">
        <v>561.0</v>
      </c>
    </row>
    <row r="6" ht="12.75" customHeight="1">
      <c r="A6" s="4" t="s">
        <v>20</v>
      </c>
      <c r="B6" s="3">
        <v>0.0</v>
      </c>
      <c r="C6" s="3">
        <v>0.0</v>
      </c>
      <c r="D6" s="3">
        <v>0.0</v>
      </c>
      <c r="E6" s="3">
        <v>0.0</v>
      </c>
      <c r="F6" s="3">
        <v>0.0</v>
      </c>
      <c r="G6" s="3">
        <v>0.0</v>
      </c>
      <c r="H6" s="3">
        <v>170.0</v>
      </c>
      <c r="I6" s="3">
        <v>244.0</v>
      </c>
      <c r="J6" s="3">
        <v>229.0</v>
      </c>
      <c r="K6" s="3">
        <v>161.0</v>
      </c>
      <c r="L6" s="3">
        <v>149.0</v>
      </c>
      <c r="M6" s="3">
        <v>338.0</v>
      </c>
      <c r="N6" s="3">
        <v>326.0</v>
      </c>
      <c r="O6" s="3">
        <v>284.0</v>
      </c>
      <c r="P6" s="3">
        <v>298.0</v>
      </c>
      <c r="Q6" s="3">
        <v>434.0</v>
      </c>
    </row>
    <row r="7" ht="12.75" customHeight="1">
      <c r="A7" s="4" t="s">
        <v>21</v>
      </c>
      <c r="B7" s="3">
        <v>0.0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222.0</v>
      </c>
      <c r="I7" s="3">
        <v>314.0</v>
      </c>
      <c r="J7" s="3">
        <v>280.0</v>
      </c>
      <c r="K7" s="3">
        <v>252.0</v>
      </c>
      <c r="L7" s="3">
        <v>305.0</v>
      </c>
      <c r="M7" s="3">
        <v>401.0</v>
      </c>
      <c r="N7" s="3">
        <v>377.0</v>
      </c>
      <c r="O7" s="3">
        <v>335.0</v>
      </c>
      <c r="P7" s="3">
        <v>333.0</v>
      </c>
      <c r="Q7" s="3">
        <v>511.0</v>
      </c>
    </row>
    <row r="8" ht="12.75" customHeight="1">
      <c r="A8" s="4" t="s">
        <v>22</v>
      </c>
      <c r="B8" s="3">
        <v>0.0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233.0</v>
      </c>
      <c r="I8" s="3">
        <v>325.0</v>
      </c>
      <c r="J8" s="3">
        <v>292.0</v>
      </c>
      <c r="K8" s="3">
        <v>270.0</v>
      </c>
      <c r="L8" s="3">
        <v>324.0</v>
      </c>
      <c r="M8" s="3">
        <v>420.0</v>
      </c>
      <c r="N8" s="3">
        <v>379.0</v>
      </c>
      <c r="O8" s="3">
        <v>336.0</v>
      </c>
      <c r="P8" s="3">
        <v>310.0</v>
      </c>
      <c r="Q8" s="3">
        <v>497.0</v>
      </c>
    </row>
    <row r="9" ht="12.75" customHeight="1">
      <c r="A9" s="5" t="s">
        <v>8</v>
      </c>
      <c r="B9" s="3">
        <v>131.0</v>
      </c>
      <c r="C9" s="3">
        <v>131.0</v>
      </c>
      <c r="D9" s="3">
        <v>272.0</v>
      </c>
      <c r="E9" s="3">
        <v>170.0</v>
      </c>
      <c r="F9" s="3">
        <v>222.0</v>
      </c>
      <c r="G9" s="3">
        <v>233.0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202.0</v>
      </c>
      <c r="N9" s="3">
        <v>154.0</v>
      </c>
      <c r="O9" s="3">
        <v>114.0</v>
      </c>
      <c r="P9" s="3">
        <v>129.0</v>
      </c>
      <c r="Q9" s="3">
        <v>290.0</v>
      </c>
    </row>
    <row r="10" ht="12.75" customHeight="1">
      <c r="A10" s="5" t="s">
        <v>9</v>
      </c>
      <c r="B10" s="3">
        <v>206.0</v>
      </c>
      <c r="C10" s="3">
        <v>223.0</v>
      </c>
      <c r="D10" s="3">
        <v>364.0</v>
      </c>
      <c r="E10" s="3">
        <v>244.0</v>
      </c>
      <c r="F10" s="3">
        <v>314.0</v>
      </c>
      <c r="G10" s="3">
        <v>325.0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113.0</v>
      </c>
      <c r="N10" s="3">
        <v>86.5</v>
      </c>
      <c r="O10" s="3">
        <v>39.5</v>
      </c>
      <c r="P10" s="3">
        <v>61.9</v>
      </c>
      <c r="Q10" s="3">
        <v>222.0</v>
      </c>
    </row>
    <row r="11" ht="12.75" customHeight="1">
      <c r="A11" s="5" t="s">
        <v>10</v>
      </c>
      <c r="B11" s="3">
        <v>182.0</v>
      </c>
      <c r="C11" s="3">
        <v>190.0</v>
      </c>
      <c r="D11" s="3">
        <v>331.0</v>
      </c>
      <c r="E11" s="3">
        <v>229.0</v>
      </c>
      <c r="F11" s="3">
        <v>280.0</v>
      </c>
      <c r="G11" s="3">
        <v>292.0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146.0</v>
      </c>
      <c r="N11" s="3">
        <v>98.3</v>
      </c>
      <c r="O11" s="3">
        <v>58.3</v>
      </c>
      <c r="P11" s="3">
        <v>73.7</v>
      </c>
      <c r="Q11" s="3">
        <v>234.0</v>
      </c>
    </row>
    <row r="12" ht="12.75" customHeight="1">
      <c r="A12" s="5" t="s">
        <v>11</v>
      </c>
      <c r="B12" s="3">
        <v>233.0</v>
      </c>
      <c r="C12" s="3">
        <v>249.0</v>
      </c>
      <c r="D12" s="3">
        <v>302.0</v>
      </c>
      <c r="E12" s="3">
        <v>161.0</v>
      </c>
      <c r="F12" s="3">
        <v>252.0</v>
      </c>
      <c r="G12" s="3">
        <v>270.0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184.0</v>
      </c>
      <c r="N12" s="3">
        <v>204.0</v>
      </c>
      <c r="O12" s="3">
        <v>155.0</v>
      </c>
      <c r="P12" s="3">
        <v>177.0</v>
      </c>
      <c r="Q12" s="3">
        <v>316.0</v>
      </c>
    </row>
    <row r="13" ht="12.75" customHeight="1">
      <c r="A13" s="5" t="s">
        <v>12</v>
      </c>
      <c r="B13" s="3">
        <v>330.0</v>
      </c>
      <c r="C13" s="3">
        <v>307.0</v>
      </c>
      <c r="D13" s="3">
        <v>355.0</v>
      </c>
      <c r="E13" s="3">
        <v>149.0</v>
      </c>
      <c r="F13" s="3">
        <v>305.0</v>
      </c>
      <c r="G13" s="3">
        <v>324.0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195.0</v>
      </c>
      <c r="N13" s="3">
        <v>217.0</v>
      </c>
      <c r="O13" s="3">
        <v>167.0</v>
      </c>
      <c r="P13" s="3">
        <v>190.0</v>
      </c>
      <c r="Q13" s="3">
        <v>288.0</v>
      </c>
    </row>
    <row r="14" ht="12.75" customHeight="1">
      <c r="A14" s="6" t="s">
        <v>23</v>
      </c>
      <c r="B14" s="3">
        <v>302.0</v>
      </c>
      <c r="C14" s="3">
        <v>341.0</v>
      </c>
      <c r="D14" s="3">
        <v>452.0</v>
      </c>
      <c r="E14" s="3">
        <v>338.0</v>
      </c>
      <c r="F14" s="3">
        <v>401.0</v>
      </c>
      <c r="G14" s="3">
        <v>420.0</v>
      </c>
      <c r="H14" s="3">
        <v>202.0</v>
      </c>
      <c r="I14" s="3">
        <v>113.0</v>
      </c>
      <c r="J14" s="3">
        <v>146.0</v>
      </c>
      <c r="K14" s="3">
        <v>184.0</v>
      </c>
      <c r="L14" s="3">
        <v>195.0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</row>
    <row r="15" ht="12.75" customHeight="1">
      <c r="A15" s="6" t="s">
        <v>14</v>
      </c>
      <c r="B15" s="3">
        <v>255.0</v>
      </c>
      <c r="C15" s="3">
        <v>295.0</v>
      </c>
      <c r="D15" s="3">
        <v>428.0</v>
      </c>
      <c r="E15" s="3">
        <v>326.0</v>
      </c>
      <c r="F15" s="3">
        <v>377.0</v>
      </c>
      <c r="G15" s="3">
        <v>379.0</v>
      </c>
      <c r="H15" s="3">
        <v>154.0</v>
      </c>
      <c r="I15" s="3">
        <v>86.5</v>
      </c>
      <c r="J15" s="3">
        <v>98.3</v>
      </c>
      <c r="K15" s="3">
        <v>204.0</v>
      </c>
      <c r="L15" s="3">
        <v>217.0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</row>
    <row r="16" ht="12.75" customHeight="1">
      <c r="A16" s="6" t="s">
        <v>15</v>
      </c>
      <c r="B16" s="3">
        <v>211.0</v>
      </c>
      <c r="C16" s="3">
        <v>253.0</v>
      </c>
      <c r="D16" s="3">
        <v>386.0</v>
      </c>
      <c r="E16" s="3">
        <v>284.0</v>
      </c>
      <c r="F16" s="3">
        <v>335.0</v>
      </c>
      <c r="G16" s="3">
        <v>336.0</v>
      </c>
      <c r="H16" s="3">
        <v>114.0</v>
      </c>
      <c r="I16" s="3">
        <v>39.5</v>
      </c>
      <c r="J16" s="3">
        <v>58.3</v>
      </c>
      <c r="K16" s="3">
        <v>155.0</v>
      </c>
      <c r="L16" s="3">
        <v>167.0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</row>
    <row r="17" ht="12.75" customHeight="1">
      <c r="A17" s="6" t="s">
        <v>16</v>
      </c>
      <c r="B17" s="3">
        <v>187.0</v>
      </c>
      <c r="C17" s="3">
        <v>226.0</v>
      </c>
      <c r="D17" s="3">
        <v>417.0</v>
      </c>
      <c r="E17" s="3">
        <v>298.0</v>
      </c>
      <c r="F17" s="3">
        <v>333.0</v>
      </c>
      <c r="G17" s="3">
        <v>310.0</v>
      </c>
      <c r="H17" s="3">
        <v>129.0</v>
      </c>
      <c r="I17" s="3">
        <v>61.9</v>
      </c>
      <c r="J17" s="3">
        <v>73.7</v>
      </c>
      <c r="K17" s="3">
        <v>177.0</v>
      </c>
      <c r="L17" s="3">
        <v>190.0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</row>
    <row r="18" ht="12.75" customHeight="1">
      <c r="A18" s="6" t="s">
        <v>17</v>
      </c>
      <c r="B18" s="3">
        <v>375.0</v>
      </c>
      <c r="C18" s="3">
        <v>414.0</v>
      </c>
      <c r="D18" s="3">
        <v>561.0</v>
      </c>
      <c r="E18" s="3">
        <v>434.0</v>
      </c>
      <c r="F18" s="3">
        <v>511.0</v>
      </c>
      <c r="G18" s="3">
        <v>497.0</v>
      </c>
      <c r="H18" s="3">
        <v>290.0</v>
      </c>
      <c r="I18" s="3">
        <v>222.0</v>
      </c>
      <c r="J18" s="3">
        <v>234.0</v>
      </c>
      <c r="K18" s="3">
        <v>316.0</v>
      </c>
      <c r="L18" s="3">
        <v>288.0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</row>
    <row r="19" ht="12.75" customHeight="1"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ht="12.75" customHeight="1"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ht="12.75" customHeight="1"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ht="12.75" customHeight="1">
      <c r="C22" s="7"/>
    </row>
    <row r="23" ht="12.75" customHeight="1">
      <c r="B23" s="8">
        <v>0.0</v>
      </c>
      <c r="C23" s="8">
        <v>0.0</v>
      </c>
      <c r="D23" s="8">
        <v>0.0</v>
      </c>
      <c r="E23" s="8">
        <v>0.0</v>
      </c>
      <c r="F23" s="8">
        <v>0.0</v>
      </c>
      <c r="G23" s="8">
        <v>0.0</v>
      </c>
      <c r="H23" s="8">
        <v>131.0</v>
      </c>
      <c r="I23" s="8">
        <v>206.0</v>
      </c>
      <c r="J23" s="8">
        <v>182.0</v>
      </c>
      <c r="K23" s="8">
        <v>233.0</v>
      </c>
      <c r="L23" s="8">
        <v>330.0</v>
      </c>
      <c r="M23" s="8">
        <v>302.0</v>
      </c>
      <c r="N23" s="8">
        <v>255.0</v>
      </c>
      <c r="O23" s="8">
        <v>211.0</v>
      </c>
      <c r="P23" s="8">
        <v>187.0</v>
      </c>
      <c r="Q23" s="8">
        <v>375.0</v>
      </c>
      <c r="R23" s="14" t="s">
        <v>27</v>
      </c>
      <c r="S23" s="14">
        <f>SUMPRODUCT(DistanceMatrix,DecisionMatrix)</f>
        <v>11255.2</v>
      </c>
      <c r="U23" s="14" t="s">
        <v>28</v>
      </c>
    </row>
    <row r="24" ht="12.75" customHeight="1">
      <c r="B24" s="8">
        <v>0.0</v>
      </c>
      <c r="C24" s="8">
        <v>0.0</v>
      </c>
      <c r="D24" s="8">
        <v>0.0</v>
      </c>
      <c r="E24" s="8">
        <v>0.0</v>
      </c>
      <c r="F24" s="8">
        <v>0.0</v>
      </c>
      <c r="G24" s="8">
        <v>0.0</v>
      </c>
      <c r="H24" s="8">
        <v>131.0</v>
      </c>
      <c r="I24" s="8">
        <v>223.0</v>
      </c>
      <c r="J24" s="8">
        <v>190.0</v>
      </c>
      <c r="K24" s="8">
        <v>249.0</v>
      </c>
      <c r="L24" s="8">
        <v>307.0</v>
      </c>
      <c r="M24" s="8">
        <v>341.0</v>
      </c>
      <c r="N24" s="8">
        <v>295.0</v>
      </c>
      <c r="O24" s="8">
        <v>253.0</v>
      </c>
      <c r="P24" s="8">
        <v>226.0</v>
      </c>
      <c r="Q24" s="8">
        <v>414.0</v>
      </c>
      <c r="S24" s="14">
        <f>COUNT($B$41:$Q$56)</f>
        <v>256</v>
      </c>
      <c r="U24" s="14" t="s">
        <v>29</v>
      </c>
    </row>
    <row r="25" ht="12.75" customHeight="1">
      <c r="B25" s="8">
        <v>0.0</v>
      </c>
      <c r="C25" s="8">
        <v>0.0</v>
      </c>
      <c r="D25" s="8">
        <v>0.0</v>
      </c>
      <c r="E25" s="8">
        <v>0.0</v>
      </c>
      <c r="F25" s="8">
        <v>0.0</v>
      </c>
      <c r="G25" s="8">
        <v>0.0</v>
      </c>
      <c r="H25" s="8">
        <v>272.0</v>
      </c>
      <c r="I25" s="8">
        <v>364.0</v>
      </c>
      <c r="J25" s="8">
        <v>331.0</v>
      </c>
      <c r="K25" s="8">
        <v>302.0</v>
      </c>
      <c r="L25" s="8">
        <v>355.0</v>
      </c>
      <c r="M25" s="8">
        <v>452.0</v>
      </c>
      <c r="N25" s="8">
        <v>428.0</v>
      </c>
      <c r="O25" s="8">
        <v>386.0</v>
      </c>
      <c r="P25" s="8">
        <v>417.0</v>
      </c>
      <c r="Q25" s="8">
        <v>561.0</v>
      </c>
    </row>
    <row r="26" ht="12.75" customHeight="1">
      <c r="B26" s="8">
        <v>0.0</v>
      </c>
      <c r="C26" s="8">
        <v>0.0</v>
      </c>
      <c r="D26" s="8">
        <v>0.0</v>
      </c>
      <c r="E26" s="8">
        <v>0.0</v>
      </c>
      <c r="F26" s="8">
        <v>0.0</v>
      </c>
      <c r="G26" s="8">
        <v>0.0</v>
      </c>
      <c r="H26" s="8">
        <v>170.0</v>
      </c>
      <c r="I26" s="8">
        <v>244.0</v>
      </c>
      <c r="J26" s="8">
        <v>229.0</v>
      </c>
      <c r="K26" s="8">
        <v>161.0</v>
      </c>
      <c r="L26" s="8">
        <v>149.0</v>
      </c>
      <c r="M26" s="8">
        <v>338.0</v>
      </c>
      <c r="N26" s="8">
        <v>326.0</v>
      </c>
      <c r="O26" s="8">
        <v>284.0</v>
      </c>
      <c r="P26" s="8">
        <v>298.0</v>
      </c>
      <c r="Q26" s="8">
        <v>434.0</v>
      </c>
    </row>
    <row r="27" ht="12.75" customHeight="1">
      <c r="B27" s="8">
        <v>0.0</v>
      </c>
      <c r="C27" s="8">
        <v>0.0</v>
      </c>
      <c r="D27" s="8">
        <v>0.0</v>
      </c>
      <c r="E27" s="8">
        <v>0.0</v>
      </c>
      <c r="F27" s="8">
        <v>0.0</v>
      </c>
      <c r="G27" s="8">
        <v>0.0</v>
      </c>
      <c r="H27" s="8">
        <v>222.0</v>
      </c>
      <c r="I27" s="8">
        <v>314.0</v>
      </c>
      <c r="J27" s="8">
        <v>280.0</v>
      </c>
      <c r="K27" s="8">
        <v>252.0</v>
      </c>
      <c r="L27" s="8">
        <v>305.0</v>
      </c>
      <c r="M27" s="8">
        <v>401.0</v>
      </c>
      <c r="N27" s="8">
        <v>377.0</v>
      </c>
      <c r="O27" s="8">
        <v>335.0</v>
      </c>
      <c r="P27" s="8">
        <v>333.0</v>
      </c>
      <c r="Q27" s="8">
        <v>511.0</v>
      </c>
    </row>
    <row r="28" ht="12.75" customHeight="1">
      <c r="B28" s="8">
        <v>0.0</v>
      </c>
      <c r="C28" s="8">
        <v>0.0</v>
      </c>
      <c r="D28" s="8">
        <v>0.0</v>
      </c>
      <c r="E28" s="8">
        <v>0.0</v>
      </c>
      <c r="F28" s="8">
        <v>0.0</v>
      </c>
      <c r="G28" s="8">
        <v>0.0</v>
      </c>
      <c r="H28" s="8">
        <v>233.0</v>
      </c>
      <c r="I28" s="8">
        <v>325.0</v>
      </c>
      <c r="J28" s="8">
        <v>292.0</v>
      </c>
      <c r="K28" s="8">
        <v>270.0</v>
      </c>
      <c r="L28" s="8">
        <v>324.0</v>
      </c>
      <c r="M28" s="8">
        <v>420.0</v>
      </c>
      <c r="N28" s="8">
        <v>379.0</v>
      </c>
      <c r="O28" s="8">
        <v>336.0</v>
      </c>
      <c r="P28" s="8">
        <v>310.0</v>
      </c>
      <c r="Q28" s="8">
        <v>497.0</v>
      </c>
    </row>
    <row r="29" ht="12.75" customHeight="1">
      <c r="B29" s="8">
        <v>131.0</v>
      </c>
      <c r="C29" s="8">
        <v>131.0</v>
      </c>
      <c r="D29" s="8">
        <v>272.0</v>
      </c>
      <c r="E29" s="8">
        <v>170.0</v>
      </c>
      <c r="F29" s="8">
        <v>222.0</v>
      </c>
      <c r="G29" s="8">
        <v>233.0</v>
      </c>
      <c r="H29" s="8">
        <v>0.0</v>
      </c>
      <c r="I29" s="8">
        <v>0.0</v>
      </c>
      <c r="J29" s="8">
        <v>0.0</v>
      </c>
      <c r="K29" s="8">
        <v>0.0</v>
      </c>
      <c r="L29" s="8">
        <v>0.0</v>
      </c>
      <c r="M29" s="8">
        <v>202.0</v>
      </c>
      <c r="N29" s="8">
        <v>154.0</v>
      </c>
      <c r="O29" s="8">
        <v>114.0</v>
      </c>
      <c r="P29" s="8">
        <v>129.0</v>
      </c>
      <c r="Q29" s="8">
        <v>290.0</v>
      </c>
    </row>
    <row r="30" ht="12.75" customHeight="1">
      <c r="B30" s="8">
        <v>206.0</v>
      </c>
      <c r="C30" s="8">
        <v>223.0</v>
      </c>
      <c r="D30" s="8">
        <v>364.0</v>
      </c>
      <c r="E30" s="8">
        <v>244.0</v>
      </c>
      <c r="F30" s="8">
        <v>314.0</v>
      </c>
      <c r="G30" s="8">
        <v>325.0</v>
      </c>
      <c r="H30" s="8">
        <v>0.0</v>
      </c>
      <c r="I30" s="8">
        <v>0.0</v>
      </c>
      <c r="J30" s="8">
        <v>0.0</v>
      </c>
      <c r="K30" s="8">
        <v>0.0</v>
      </c>
      <c r="L30" s="8">
        <v>0.0</v>
      </c>
      <c r="M30" s="8">
        <v>113.0</v>
      </c>
      <c r="N30" s="8">
        <v>86.5</v>
      </c>
      <c r="O30" s="8">
        <v>39.5</v>
      </c>
      <c r="P30" s="8">
        <v>61.9</v>
      </c>
      <c r="Q30" s="8">
        <v>222.0</v>
      </c>
    </row>
    <row r="31" ht="12.75" customHeight="1">
      <c r="B31" s="8">
        <v>182.0</v>
      </c>
      <c r="C31" s="8">
        <v>190.0</v>
      </c>
      <c r="D31" s="8">
        <v>331.0</v>
      </c>
      <c r="E31" s="8">
        <v>229.0</v>
      </c>
      <c r="F31" s="8">
        <v>280.0</v>
      </c>
      <c r="G31" s="8">
        <v>292.0</v>
      </c>
      <c r="H31" s="8">
        <v>0.0</v>
      </c>
      <c r="I31" s="8">
        <v>0.0</v>
      </c>
      <c r="J31" s="8">
        <v>0.0</v>
      </c>
      <c r="K31" s="8">
        <v>0.0</v>
      </c>
      <c r="L31" s="8">
        <v>0.0</v>
      </c>
      <c r="M31" s="8">
        <v>146.0</v>
      </c>
      <c r="N31" s="8">
        <v>98.3</v>
      </c>
      <c r="O31" s="8">
        <v>58.3</v>
      </c>
      <c r="P31" s="8">
        <v>73.7</v>
      </c>
      <c r="Q31" s="8">
        <v>234.0</v>
      </c>
    </row>
    <row r="32" ht="12.75" customHeight="1">
      <c r="B32" s="8">
        <v>233.0</v>
      </c>
      <c r="C32" s="8">
        <v>249.0</v>
      </c>
      <c r="D32" s="8">
        <v>302.0</v>
      </c>
      <c r="E32" s="8">
        <v>161.0</v>
      </c>
      <c r="F32" s="8">
        <v>252.0</v>
      </c>
      <c r="G32" s="8">
        <v>270.0</v>
      </c>
      <c r="H32" s="8">
        <v>0.0</v>
      </c>
      <c r="I32" s="8">
        <v>0.0</v>
      </c>
      <c r="J32" s="8">
        <v>0.0</v>
      </c>
      <c r="K32" s="8">
        <v>0.0</v>
      </c>
      <c r="L32" s="8">
        <v>0.0</v>
      </c>
      <c r="M32" s="8">
        <v>184.0</v>
      </c>
      <c r="N32" s="8">
        <v>204.0</v>
      </c>
      <c r="O32" s="8">
        <v>155.0</v>
      </c>
      <c r="P32" s="8">
        <v>177.0</v>
      </c>
      <c r="Q32" s="8">
        <v>316.0</v>
      </c>
    </row>
    <row r="33" ht="12.75" customHeight="1">
      <c r="B33" s="8">
        <v>330.0</v>
      </c>
      <c r="C33" s="8">
        <v>307.0</v>
      </c>
      <c r="D33" s="8">
        <v>355.0</v>
      </c>
      <c r="E33" s="8">
        <v>149.0</v>
      </c>
      <c r="F33" s="8">
        <v>305.0</v>
      </c>
      <c r="G33" s="8">
        <v>324.0</v>
      </c>
      <c r="H33" s="8">
        <v>0.0</v>
      </c>
      <c r="I33" s="8">
        <v>0.0</v>
      </c>
      <c r="J33" s="8">
        <v>0.0</v>
      </c>
      <c r="K33" s="8">
        <v>0.0</v>
      </c>
      <c r="L33" s="8">
        <v>0.0</v>
      </c>
      <c r="M33" s="8">
        <v>195.0</v>
      </c>
      <c r="N33" s="8">
        <v>217.0</v>
      </c>
      <c r="O33" s="8">
        <v>167.0</v>
      </c>
      <c r="P33" s="8">
        <v>190.0</v>
      </c>
      <c r="Q33" s="8">
        <v>288.0</v>
      </c>
    </row>
    <row r="34" ht="12.75" customHeight="1">
      <c r="B34" s="8">
        <v>302.0</v>
      </c>
      <c r="C34" s="8">
        <v>341.0</v>
      </c>
      <c r="D34" s="8">
        <v>452.0</v>
      </c>
      <c r="E34" s="8">
        <v>338.0</v>
      </c>
      <c r="F34" s="8">
        <v>401.0</v>
      </c>
      <c r="G34" s="8">
        <v>420.0</v>
      </c>
      <c r="H34" s="8">
        <v>202.0</v>
      </c>
      <c r="I34" s="8">
        <v>113.0</v>
      </c>
      <c r="J34" s="8">
        <v>146.0</v>
      </c>
      <c r="K34" s="8">
        <v>184.0</v>
      </c>
      <c r="L34" s="8">
        <v>195.0</v>
      </c>
      <c r="M34" s="8">
        <v>0.0</v>
      </c>
      <c r="N34" s="8">
        <v>0.0</v>
      </c>
      <c r="O34" s="8">
        <v>0.0</v>
      </c>
      <c r="P34" s="8">
        <v>0.0</v>
      </c>
      <c r="Q34" s="8">
        <v>0.0</v>
      </c>
    </row>
    <row r="35" ht="12.75" customHeight="1">
      <c r="B35" s="8">
        <v>255.0</v>
      </c>
      <c r="C35" s="8">
        <v>295.0</v>
      </c>
      <c r="D35" s="8">
        <v>428.0</v>
      </c>
      <c r="E35" s="8">
        <v>326.0</v>
      </c>
      <c r="F35" s="8">
        <v>377.0</v>
      </c>
      <c r="G35" s="8">
        <v>379.0</v>
      </c>
      <c r="H35" s="8">
        <v>154.0</v>
      </c>
      <c r="I35" s="8">
        <v>86.5</v>
      </c>
      <c r="J35" s="8">
        <v>98.3</v>
      </c>
      <c r="K35" s="8">
        <v>204.0</v>
      </c>
      <c r="L35" s="8">
        <v>217.0</v>
      </c>
      <c r="M35" s="8">
        <v>0.0</v>
      </c>
      <c r="N35" s="8">
        <v>0.0</v>
      </c>
      <c r="O35" s="8">
        <v>0.0</v>
      </c>
      <c r="P35" s="8">
        <v>0.0</v>
      </c>
      <c r="Q35" s="8">
        <v>0.0</v>
      </c>
    </row>
    <row r="36" ht="12.75" customHeight="1">
      <c r="B36" s="8">
        <v>211.0</v>
      </c>
      <c r="C36" s="8">
        <v>253.0</v>
      </c>
      <c r="D36" s="8">
        <v>386.0</v>
      </c>
      <c r="E36" s="8">
        <v>284.0</v>
      </c>
      <c r="F36" s="8">
        <v>335.0</v>
      </c>
      <c r="G36" s="8">
        <v>336.0</v>
      </c>
      <c r="H36" s="8">
        <v>114.0</v>
      </c>
      <c r="I36" s="8">
        <v>39.5</v>
      </c>
      <c r="J36" s="8">
        <v>58.3</v>
      </c>
      <c r="K36" s="8">
        <v>155.0</v>
      </c>
      <c r="L36" s="8">
        <v>167.0</v>
      </c>
      <c r="M36" s="8">
        <v>0.0</v>
      </c>
      <c r="N36" s="8">
        <v>0.0</v>
      </c>
      <c r="O36" s="8">
        <v>0.0</v>
      </c>
      <c r="P36" s="8">
        <v>0.0</v>
      </c>
      <c r="Q36" s="8">
        <v>0.0</v>
      </c>
    </row>
    <row r="37" ht="12.75" customHeight="1">
      <c r="B37" s="8">
        <v>187.0</v>
      </c>
      <c r="C37" s="8">
        <v>226.0</v>
      </c>
      <c r="D37" s="8">
        <v>417.0</v>
      </c>
      <c r="E37" s="8">
        <v>298.0</v>
      </c>
      <c r="F37" s="8">
        <v>333.0</v>
      </c>
      <c r="G37" s="8">
        <v>310.0</v>
      </c>
      <c r="H37" s="8">
        <v>129.0</v>
      </c>
      <c r="I37" s="8">
        <v>61.9</v>
      </c>
      <c r="J37" s="8">
        <v>73.7</v>
      </c>
      <c r="K37" s="8">
        <v>177.0</v>
      </c>
      <c r="L37" s="8">
        <v>190.0</v>
      </c>
      <c r="M37" s="8">
        <v>0.0</v>
      </c>
      <c r="N37" s="8">
        <v>0.0</v>
      </c>
      <c r="O37" s="8">
        <v>0.0</v>
      </c>
      <c r="P37" s="8">
        <v>0.0</v>
      </c>
      <c r="Q37" s="8">
        <v>0.0</v>
      </c>
    </row>
    <row r="38" ht="12.75" customHeight="1">
      <c r="B38" s="8">
        <v>375.0</v>
      </c>
      <c r="C38" s="8">
        <v>414.0</v>
      </c>
      <c r="D38" s="8">
        <v>561.0</v>
      </c>
      <c r="E38" s="8">
        <v>434.0</v>
      </c>
      <c r="F38" s="8">
        <v>511.0</v>
      </c>
      <c r="G38" s="8">
        <v>497.0</v>
      </c>
      <c r="H38" s="8">
        <v>290.0</v>
      </c>
      <c r="I38" s="8">
        <v>222.0</v>
      </c>
      <c r="J38" s="8">
        <v>234.0</v>
      </c>
      <c r="K38" s="8">
        <v>316.0</v>
      </c>
      <c r="L38" s="8">
        <v>288.0</v>
      </c>
      <c r="M38" s="8">
        <v>0.0</v>
      </c>
      <c r="N38" s="8">
        <v>0.0</v>
      </c>
      <c r="O38" s="8">
        <v>0.0</v>
      </c>
      <c r="P38" s="8">
        <v>0.0</v>
      </c>
      <c r="Q38" s="8">
        <v>0.0</v>
      </c>
    </row>
    <row r="39" ht="12.75" customHeight="1">
      <c r="D39" s="8"/>
      <c r="E39" s="8"/>
      <c r="F39" s="9"/>
      <c r="G39" s="9"/>
      <c r="H39" s="8"/>
      <c r="I39" s="8"/>
      <c r="J39" s="10"/>
      <c r="K39" s="8"/>
      <c r="L39" s="8"/>
      <c r="M39" s="8"/>
      <c r="N39" s="8"/>
      <c r="O39" s="8"/>
      <c r="P39" s="8"/>
      <c r="Q39" s="8"/>
      <c r="R39" s="8"/>
      <c r="S39" s="8"/>
    </row>
    <row r="40" ht="12.75" customHeight="1">
      <c r="B40" s="11" t="s">
        <v>25</v>
      </c>
      <c r="R40" s="8"/>
      <c r="S40" s="8"/>
      <c r="U40" s="14" t="s">
        <v>30</v>
      </c>
    </row>
    <row r="41" ht="12.75" customHeight="1">
      <c r="B41" s="15">
        <v>0.0</v>
      </c>
      <c r="C41" s="15">
        <v>0.0</v>
      </c>
      <c r="D41" s="15">
        <v>0.0</v>
      </c>
      <c r="E41" s="15">
        <v>0.0</v>
      </c>
      <c r="F41" s="15">
        <v>0.0</v>
      </c>
      <c r="G41" s="15">
        <v>0.0</v>
      </c>
      <c r="H41" s="15">
        <v>0.0</v>
      </c>
      <c r="I41" s="15">
        <v>0.0</v>
      </c>
      <c r="J41" s="15">
        <v>0.0</v>
      </c>
      <c r="K41" s="15">
        <v>0.0</v>
      </c>
      <c r="L41" s="15">
        <v>0.0</v>
      </c>
      <c r="M41" s="15">
        <v>0.0</v>
      </c>
      <c r="N41" s="15">
        <v>0.0</v>
      </c>
      <c r="O41" s="15">
        <v>1.0</v>
      </c>
      <c r="P41" s="15">
        <v>1.0</v>
      </c>
      <c r="Q41" s="15">
        <v>1.0</v>
      </c>
      <c r="R41" s="16">
        <f t="shared" ref="R41:R56" si="1">SUM(B41:Q41)</f>
        <v>3</v>
      </c>
      <c r="S41" s="17">
        <v>3.0</v>
      </c>
      <c r="U41" s="14" t="s">
        <v>31</v>
      </c>
    </row>
    <row r="42" ht="12.75" customHeight="1">
      <c r="B42" s="15">
        <v>0.0</v>
      </c>
      <c r="C42" s="15">
        <v>0.0</v>
      </c>
      <c r="D42" s="15">
        <v>0.0</v>
      </c>
      <c r="E42" s="15">
        <v>0.0</v>
      </c>
      <c r="F42" s="15">
        <v>0.0</v>
      </c>
      <c r="G42" s="15">
        <v>0.0</v>
      </c>
      <c r="H42" s="15">
        <v>1.0</v>
      </c>
      <c r="I42" s="15">
        <v>0.0</v>
      </c>
      <c r="J42" s="15">
        <v>0.0</v>
      </c>
      <c r="K42" s="15">
        <v>0.0</v>
      </c>
      <c r="L42" s="15">
        <v>0.0</v>
      </c>
      <c r="M42" s="15">
        <v>0.0</v>
      </c>
      <c r="N42" s="15">
        <v>0.0</v>
      </c>
      <c r="O42" s="15">
        <v>0.0</v>
      </c>
      <c r="P42" s="15">
        <v>1.0</v>
      </c>
      <c r="Q42" s="15">
        <v>1.0</v>
      </c>
      <c r="R42" s="16">
        <f t="shared" si="1"/>
        <v>3</v>
      </c>
      <c r="S42" s="17">
        <v>3.0</v>
      </c>
      <c r="U42" s="14" t="s">
        <v>32</v>
      </c>
    </row>
    <row r="43" ht="12.75" customHeight="1">
      <c r="B43" s="15">
        <v>0.0</v>
      </c>
      <c r="C43" s="15">
        <v>0.0</v>
      </c>
      <c r="D43" s="15">
        <v>0.0</v>
      </c>
      <c r="E43" s="15">
        <v>0.0</v>
      </c>
      <c r="F43" s="15">
        <v>0.0</v>
      </c>
      <c r="G43" s="15">
        <v>0.0</v>
      </c>
      <c r="H43" s="15">
        <v>1.0</v>
      </c>
      <c r="I43" s="15">
        <v>0.0</v>
      </c>
      <c r="J43" s="15">
        <v>0.0</v>
      </c>
      <c r="K43" s="15">
        <v>1.0</v>
      </c>
      <c r="L43" s="15">
        <v>1.0</v>
      </c>
      <c r="M43" s="15">
        <v>0.0</v>
      </c>
      <c r="N43" s="15">
        <v>0.0</v>
      </c>
      <c r="O43" s="15">
        <v>0.0</v>
      </c>
      <c r="P43" s="15">
        <v>0.0</v>
      </c>
      <c r="Q43" s="15">
        <v>0.0</v>
      </c>
      <c r="R43" s="16">
        <f t="shared" si="1"/>
        <v>3</v>
      </c>
      <c r="S43" s="17">
        <v>3.0</v>
      </c>
    </row>
    <row r="44" ht="12.75" customHeight="1">
      <c r="B44" s="15">
        <v>0.0</v>
      </c>
      <c r="C44" s="15">
        <v>0.0</v>
      </c>
      <c r="D44" s="15">
        <v>0.0</v>
      </c>
      <c r="E44" s="15">
        <v>0.0</v>
      </c>
      <c r="F44" s="15">
        <v>0.0</v>
      </c>
      <c r="G44" s="15">
        <v>0.0</v>
      </c>
      <c r="H44" s="15">
        <v>0.0</v>
      </c>
      <c r="I44" s="15">
        <v>0.0</v>
      </c>
      <c r="J44" s="15">
        <v>0.0</v>
      </c>
      <c r="K44" s="15">
        <v>1.0</v>
      </c>
      <c r="L44" s="15">
        <v>1.0</v>
      </c>
      <c r="M44" s="15">
        <v>1.0</v>
      </c>
      <c r="N44" s="15">
        <v>0.0</v>
      </c>
      <c r="O44" s="15">
        <v>0.0</v>
      </c>
      <c r="P44" s="15">
        <v>0.0</v>
      </c>
      <c r="Q44" s="15">
        <v>0.0</v>
      </c>
      <c r="R44" s="16">
        <f t="shared" si="1"/>
        <v>3</v>
      </c>
      <c r="S44" s="17">
        <v>3.0</v>
      </c>
    </row>
    <row r="45" ht="12.75" customHeight="1">
      <c r="B45" s="15">
        <v>0.0</v>
      </c>
      <c r="C45" s="15">
        <v>0.0</v>
      </c>
      <c r="D45" s="15">
        <v>0.0</v>
      </c>
      <c r="E45" s="15">
        <v>0.0</v>
      </c>
      <c r="F45" s="15">
        <v>0.0</v>
      </c>
      <c r="G45" s="15">
        <v>0.0</v>
      </c>
      <c r="H45" s="15">
        <v>1.0</v>
      </c>
      <c r="I45" s="15">
        <v>0.0</v>
      </c>
      <c r="J45" s="15">
        <v>0.0</v>
      </c>
      <c r="K45" s="15">
        <v>1.0</v>
      </c>
      <c r="L45" s="15">
        <v>1.0</v>
      </c>
      <c r="M45" s="15">
        <v>0.0</v>
      </c>
      <c r="N45" s="15">
        <v>0.0</v>
      </c>
      <c r="O45" s="15">
        <v>0.0</v>
      </c>
      <c r="P45" s="15">
        <v>0.0</v>
      </c>
      <c r="Q45" s="15">
        <v>0.0</v>
      </c>
      <c r="R45" s="16">
        <f t="shared" si="1"/>
        <v>3</v>
      </c>
      <c r="S45" s="17">
        <v>3.0</v>
      </c>
    </row>
    <row r="46" ht="12.75" customHeight="1">
      <c r="B46" s="15">
        <v>0.0</v>
      </c>
      <c r="C46" s="15">
        <v>0.0</v>
      </c>
      <c r="D46" s="15">
        <v>0.0</v>
      </c>
      <c r="E46" s="15">
        <v>0.0</v>
      </c>
      <c r="F46" s="15">
        <v>0.0</v>
      </c>
      <c r="G46" s="15">
        <v>0.0</v>
      </c>
      <c r="H46" s="15">
        <v>0.0</v>
      </c>
      <c r="I46" s="15">
        <v>0.0</v>
      </c>
      <c r="J46" s="15">
        <v>0.0</v>
      </c>
      <c r="K46" s="15">
        <v>0.0</v>
      </c>
      <c r="L46" s="15">
        <v>0.0</v>
      </c>
      <c r="M46" s="15">
        <v>0.0</v>
      </c>
      <c r="N46" s="15">
        <v>1.0</v>
      </c>
      <c r="O46" s="15">
        <v>0.0</v>
      </c>
      <c r="P46" s="15">
        <v>1.0</v>
      </c>
      <c r="Q46" s="15">
        <v>1.0</v>
      </c>
      <c r="R46" s="16">
        <f t="shared" si="1"/>
        <v>3</v>
      </c>
      <c r="S46" s="17">
        <v>3.0</v>
      </c>
    </row>
    <row r="47" ht="12.75" customHeight="1">
      <c r="B47" s="15">
        <v>0.0</v>
      </c>
      <c r="C47" s="15">
        <v>1.0</v>
      </c>
      <c r="D47" s="15">
        <v>1.0</v>
      </c>
      <c r="E47" s="15">
        <v>0.0</v>
      </c>
      <c r="F47" s="15">
        <v>1.0</v>
      </c>
      <c r="G47" s="15">
        <v>0.0</v>
      </c>
      <c r="H47" s="15">
        <v>0.0</v>
      </c>
      <c r="I47" s="15">
        <v>0.0</v>
      </c>
      <c r="J47" s="15">
        <v>0.0</v>
      </c>
      <c r="K47" s="15">
        <v>0.0</v>
      </c>
      <c r="L47" s="15">
        <v>0.0</v>
      </c>
      <c r="M47" s="15">
        <v>0.0</v>
      </c>
      <c r="N47" s="15">
        <v>0.0</v>
      </c>
      <c r="O47" s="15">
        <v>0.0</v>
      </c>
      <c r="P47" s="15">
        <v>0.0</v>
      </c>
      <c r="Q47" s="15">
        <v>0.0</v>
      </c>
      <c r="R47" s="16">
        <f t="shared" si="1"/>
        <v>3</v>
      </c>
      <c r="S47" s="17">
        <v>3.0</v>
      </c>
    </row>
    <row r="48" ht="12.75" customHeight="1">
      <c r="B48" s="15">
        <v>0.0</v>
      </c>
      <c r="C48" s="15">
        <v>0.0</v>
      </c>
      <c r="D48" s="15">
        <v>0.0</v>
      </c>
      <c r="E48" s="15">
        <v>0.0</v>
      </c>
      <c r="F48" s="15">
        <v>0.0</v>
      </c>
      <c r="G48" s="15">
        <v>0.0</v>
      </c>
      <c r="H48" s="15">
        <v>0.0</v>
      </c>
      <c r="I48" s="15">
        <v>0.0</v>
      </c>
      <c r="J48" s="15">
        <v>0.0</v>
      </c>
      <c r="K48" s="15">
        <v>0.0</v>
      </c>
      <c r="L48" s="15">
        <v>0.0</v>
      </c>
      <c r="M48" s="15">
        <v>1.0</v>
      </c>
      <c r="N48" s="15">
        <v>1.0</v>
      </c>
      <c r="O48" s="15">
        <v>1.0</v>
      </c>
      <c r="P48" s="15">
        <v>0.0</v>
      </c>
      <c r="Q48" s="15">
        <v>0.0</v>
      </c>
      <c r="R48" s="16">
        <f t="shared" si="1"/>
        <v>3</v>
      </c>
      <c r="S48" s="17">
        <v>3.0</v>
      </c>
    </row>
    <row r="49" ht="12.75" customHeight="1">
      <c r="B49" s="15">
        <v>0.0</v>
      </c>
      <c r="C49" s="15">
        <v>0.0</v>
      </c>
      <c r="D49" s="15">
        <v>0.0</v>
      </c>
      <c r="E49" s="15">
        <v>0.0</v>
      </c>
      <c r="F49" s="15">
        <v>0.0</v>
      </c>
      <c r="G49" s="15">
        <v>0.0</v>
      </c>
      <c r="H49" s="15">
        <v>0.0</v>
      </c>
      <c r="I49" s="15">
        <v>0.0</v>
      </c>
      <c r="J49" s="15">
        <v>0.0</v>
      </c>
      <c r="K49" s="15">
        <v>0.0</v>
      </c>
      <c r="L49" s="15">
        <v>0.0</v>
      </c>
      <c r="M49" s="15">
        <v>1.0</v>
      </c>
      <c r="N49" s="15">
        <v>1.0</v>
      </c>
      <c r="O49" s="15">
        <v>1.0</v>
      </c>
      <c r="P49" s="15">
        <v>0.0</v>
      </c>
      <c r="Q49" s="15">
        <v>0.0</v>
      </c>
      <c r="R49" s="16">
        <f t="shared" si="1"/>
        <v>3</v>
      </c>
      <c r="S49" s="17">
        <v>3.0</v>
      </c>
    </row>
    <row r="50" ht="12.75" customHeight="1">
      <c r="B50" s="15">
        <v>0.0</v>
      </c>
      <c r="C50" s="15">
        <v>0.0</v>
      </c>
      <c r="D50" s="15">
        <v>1.0</v>
      </c>
      <c r="E50" s="15">
        <v>1.0</v>
      </c>
      <c r="F50" s="15">
        <v>1.0</v>
      </c>
      <c r="G50" s="15">
        <v>0.0</v>
      </c>
      <c r="H50" s="15">
        <v>0.0</v>
      </c>
      <c r="I50" s="15">
        <v>0.0</v>
      </c>
      <c r="J50" s="15">
        <v>0.0</v>
      </c>
      <c r="K50" s="15">
        <v>0.0</v>
      </c>
      <c r="L50" s="15">
        <v>0.0</v>
      </c>
      <c r="M50" s="15">
        <v>0.0</v>
      </c>
      <c r="N50" s="15">
        <v>0.0</v>
      </c>
      <c r="O50" s="15">
        <v>0.0</v>
      </c>
      <c r="P50" s="15">
        <v>0.0</v>
      </c>
      <c r="Q50" s="15">
        <v>0.0</v>
      </c>
      <c r="R50" s="16">
        <f t="shared" si="1"/>
        <v>3</v>
      </c>
      <c r="S50" s="17">
        <v>3.0</v>
      </c>
    </row>
    <row r="51" ht="12.75" customHeight="1">
      <c r="B51" s="15">
        <v>0.0</v>
      </c>
      <c r="C51" s="15">
        <v>0.0</v>
      </c>
      <c r="D51" s="15">
        <v>1.0</v>
      </c>
      <c r="E51" s="15">
        <v>1.0</v>
      </c>
      <c r="F51" s="15">
        <v>1.0</v>
      </c>
      <c r="G51" s="15">
        <v>0.0</v>
      </c>
      <c r="H51" s="15">
        <v>0.0</v>
      </c>
      <c r="I51" s="15">
        <v>0.0</v>
      </c>
      <c r="J51" s="15">
        <v>0.0</v>
      </c>
      <c r="K51" s="15">
        <v>0.0</v>
      </c>
      <c r="L51" s="15">
        <v>0.0</v>
      </c>
      <c r="M51" s="15">
        <v>0.0</v>
      </c>
      <c r="N51" s="15">
        <v>0.0</v>
      </c>
      <c r="O51" s="15">
        <v>0.0</v>
      </c>
      <c r="P51" s="15">
        <v>0.0</v>
      </c>
      <c r="Q51" s="15">
        <v>0.0</v>
      </c>
      <c r="R51" s="16">
        <f t="shared" si="1"/>
        <v>3</v>
      </c>
      <c r="S51" s="17">
        <v>3.0</v>
      </c>
    </row>
    <row r="52" ht="12.75" customHeight="1">
      <c r="B52" s="15">
        <v>0.0</v>
      </c>
      <c r="C52" s="15">
        <v>0.0</v>
      </c>
      <c r="D52" s="15">
        <v>0.0</v>
      </c>
      <c r="E52" s="15">
        <v>1.0</v>
      </c>
      <c r="F52" s="15">
        <v>0.0</v>
      </c>
      <c r="G52" s="15">
        <v>0.0</v>
      </c>
      <c r="H52" s="15">
        <v>0.0</v>
      </c>
      <c r="I52" s="15">
        <v>1.0</v>
      </c>
      <c r="J52" s="15">
        <v>1.0</v>
      </c>
      <c r="K52" s="15">
        <v>0.0</v>
      </c>
      <c r="L52" s="15">
        <v>0.0</v>
      </c>
      <c r="M52" s="15">
        <v>0.0</v>
      </c>
      <c r="N52" s="15">
        <v>0.0</v>
      </c>
      <c r="O52" s="15">
        <v>0.0</v>
      </c>
      <c r="P52" s="15">
        <v>0.0</v>
      </c>
      <c r="Q52" s="15">
        <v>0.0</v>
      </c>
      <c r="R52" s="16">
        <f t="shared" si="1"/>
        <v>3</v>
      </c>
      <c r="S52" s="17">
        <v>3.0</v>
      </c>
    </row>
    <row r="53" ht="12.75" customHeight="1">
      <c r="B53" s="15">
        <v>0.0</v>
      </c>
      <c r="C53" s="15">
        <v>0.0</v>
      </c>
      <c r="D53" s="15">
        <v>0.0</v>
      </c>
      <c r="E53" s="15">
        <v>0.0</v>
      </c>
      <c r="F53" s="15">
        <v>0.0</v>
      </c>
      <c r="G53" s="15">
        <v>1.0</v>
      </c>
      <c r="H53" s="15">
        <v>0.0</v>
      </c>
      <c r="I53" s="15">
        <v>1.0</v>
      </c>
      <c r="J53" s="15">
        <v>1.0</v>
      </c>
      <c r="K53" s="15">
        <v>0.0</v>
      </c>
      <c r="L53" s="15">
        <v>0.0</v>
      </c>
      <c r="M53" s="15">
        <v>0.0</v>
      </c>
      <c r="N53" s="15">
        <v>0.0</v>
      </c>
      <c r="O53" s="15">
        <v>0.0</v>
      </c>
      <c r="P53" s="15">
        <v>0.0</v>
      </c>
      <c r="Q53" s="15">
        <v>0.0</v>
      </c>
      <c r="R53" s="16">
        <f t="shared" si="1"/>
        <v>3</v>
      </c>
      <c r="S53" s="17">
        <v>3.0</v>
      </c>
    </row>
    <row r="54" ht="12.75" customHeight="1">
      <c r="B54" s="15">
        <v>1.0</v>
      </c>
      <c r="C54" s="15">
        <v>0.0</v>
      </c>
      <c r="D54" s="15">
        <v>0.0</v>
      </c>
      <c r="E54" s="15">
        <v>0.0</v>
      </c>
      <c r="F54" s="15">
        <v>0.0</v>
      </c>
      <c r="G54" s="15">
        <v>0.0</v>
      </c>
      <c r="H54" s="15">
        <v>0.0</v>
      </c>
      <c r="I54" s="15">
        <v>1.0</v>
      </c>
      <c r="J54" s="15">
        <v>1.0</v>
      </c>
      <c r="K54" s="15">
        <v>0.0</v>
      </c>
      <c r="L54" s="15">
        <v>0.0</v>
      </c>
      <c r="M54" s="15">
        <v>0.0</v>
      </c>
      <c r="N54" s="15">
        <v>0.0</v>
      </c>
      <c r="O54" s="15">
        <v>0.0</v>
      </c>
      <c r="P54" s="15">
        <v>0.0</v>
      </c>
      <c r="Q54" s="15">
        <v>0.0</v>
      </c>
      <c r="R54" s="16">
        <f t="shared" si="1"/>
        <v>3</v>
      </c>
      <c r="S54" s="17">
        <v>3.0</v>
      </c>
    </row>
    <row r="55" ht="12.75" customHeight="1">
      <c r="B55" s="15">
        <v>1.0</v>
      </c>
      <c r="C55" s="15">
        <v>1.0</v>
      </c>
      <c r="D55" s="15">
        <v>0.0</v>
      </c>
      <c r="E55" s="15">
        <v>0.0</v>
      </c>
      <c r="F55" s="15">
        <v>0.0</v>
      </c>
      <c r="G55" s="15">
        <v>1.0</v>
      </c>
      <c r="H55" s="15">
        <v>0.0</v>
      </c>
      <c r="I55" s="15">
        <v>0.0</v>
      </c>
      <c r="J55" s="15">
        <v>0.0</v>
      </c>
      <c r="K55" s="15">
        <v>0.0</v>
      </c>
      <c r="L55" s="15">
        <v>0.0</v>
      </c>
      <c r="M55" s="15">
        <v>0.0</v>
      </c>
      <c r="N55" s="15">
        <v>0.0</v>
      </c>
      <c r="O55" s="15">
        <v>0.0</v>
      </c>
      <c r="P55" s="15">
        <v>0.0</v>
      </c>
      <c r="Q55" s="15">
        <v>0.0</v>
      </c>
      <c r="R55" s="16">
        <f t="shared" si="1"/>
        <v>3</v>
      </c>
      <c r="S55" s="17">
        <v>3.0</v>
      </c>
    </row>
    <row r="56" ht="12.75" customHeight="1">
      <c r="B56" s="15">
        <v>1.0</v>
      </c>
      <c r="C56" s="15">
        <v>1.0</v>
      </c>
      <c r="D56" s="15">
        <v>0.0</v>
      </c>
      <c r="E56" s="15">
        <v>0.0</v>
      </c>
      <c r="F56" s="15">
        <v>0.0</v>
      </c>
      <c r="G56" s="15">
        <v>1.0</v>
      </c>
      <c r="H56" s="15">
        <v>0.0</v>
      </c>
      <c r="I56" s="15">
        <v>0.0</v>
      </c>
      <c r="J56" s="15">
        <v>0.0</v>
      </c>
      <c r="K56" s="15">
        <v>0.0</v>
      </c>
      <c r="L56" s="15">
        <v>0.0</v>
      </c>
      <c r="M56" s="15">
        <v>0.0</v>
      </c>
      <c r="N56" s="15">
        <v>0.0</v>
      </c>
      <c r="O56" s="15">
        <v>0.0</v>
      </c>
      <c r="P56" s="15">
        <v>0.0</v>
      </c>
      <c r="Q56" s="15">
        <v>0.0</v>
      </c>
      <c r="R56" s="16">
        <f t="shared" si="1"/>
        <v>3</v>
      </c>
      <c r="S56" s="17">
        <v>3.0</v>
      </c>
    </row>
    <row r="57" ht="12.75" customHeight="1">
      <c r="B57" s="16">
        <f t="shared" ref="B57:Q57" si="2">SUM(B41:B56)</f>
        <v>3</v>
      </c>
      <c r="C57" s="16">
        <f t="shared" si="2"/>
        <v>3</v>
      </c>
      <c r="D57" s="16">
        <f t="shared" si="2"/>
        <v>3</v>
      </c>
      <c r="E57" s="16">
        <f t="shared" si="2"/>
        <v>3</v>
      </c>
      <c r="F57" s="16">
        <f t="shared" si="2"/>
        <v>3</v>
      </c>
      <c r="G57" s="16">
        <f t="shared" si="2"/>
        <v>3</v>
      </c>
      <c r="H57" s="16">
        <f t="shared" si="2"/>
        <v>3</v>
      </c>
      <c r="I57" s="16">
        <f t="shared" si="2"/>
        <v>3</v>
      </c>
      <c r="J57" s="16">
        <f t="shared" si="2"/>
        <v>3</v>
      </c>
      <c r="K57" s="16">
        <f t="shared" si="2"/>
        <v>3</v>
      </c>
      <c r="L57" s="16">
        <f t="shared" si="2"/>
        <v>3</v>
      </c>
      <c r="M57" s="16">
        <f t="shared" si="2"/>
        <v>3</v>
      </c>
      <c r="N57" s="16">
        <f t="shared" si="2"/>
        <v>3</v>
      </c>
      <c r="O57" s="16">
        <f t="shared" si="2"/>
        <v>3</v>
      </c>
      <c r="P57" s="16">
        <f t="shared" si="2"/>
        <v>3</v>
      </c>
      <c r="Q57" s="16">
        <f t="shared" si="2"/>
        <v>3</v>
      </c>
    </row>
    <row r="58" ht="12.75" customHeight="1">
      <c r="B58" s="18">
        <v>3.0</v>
      </c>
      <c r="C58" s="18">
        <v>3.0</v>
      </c>
      <c r="D58" s="18">
        <v>3.0</v>
      </c>
      <c r="E58" s="18">
        <v>3.0</v>
      </c>
      <c r="F58" s="18">
        <v>3.0</v>
      </c>
      <c r="G58" s="18">
        <v>3.0</v>
      </c>
      <c r="H58" s="18">
        <v>3.0</v>
      </c>
      <c r="I58" s="18">
        <v>3.0</v>
      </c>
      <c r="J58" s="18">
        <v>3.0</v>
      </c>
      <c r="K58" s="18">
        <v>3.0</v>
      </c>
      <c r="L58" s="18">
        <v>3.0</v>
      </c>
      <c r="M58" s="18">
        <v>3.0</v>
      </c>
      <c r="N58" s="18">
        <v>3.0</v>
      </c>
      <c r="O58" s="18">
        <v>3.0</v>
      </c>
      <c r="P58" s="18">
        <v>3.0</v>
      </c>
      <c r="Q58" s="18">
        <v>3.0</v>
      </c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25.13"/>
    <col customWidth="1" min="3" max="3" width="21.0"/>
    <col customWidth="1" min="4" max="4" width="26.0"/>
    <col customWidth="1" min="5" max="5" width="22.38"/>
    <col customWidth="1" min="6" max="6" width="13.38"/>
    <col customWidth="1" min="7" max="7" width="15.75"/>
    <col customWidth="1" min="8" max="8" width="15.0"/>
    <col customWidth="1" min="9" max="9" width="19.25"/>
    <col customWidth="1" min="10" max="26" width="8.63"/>
  </cols>
  <sheetData>
    <row r="1" ht="12.75" customHeight="1">
      <c r="A1" s="19" t="s">
        <v>33</v>
      </c>
      <c r="B1" s="19" t="s">
        <v>34</v>
      </c>
      <c r="C1" s="19" t="s">
        <v>35</v>
      </c>
      <c r="D1" s="19" t="s">
        <v>36</v>
      </c>
      <c r="E1" s="19" t="s">
        <v>37</v>
      </c>
      <c r="F1" s="19" t="s">
        <v>38</v>
      </c>
      <c r="G1" s="19" t="s">
        <v>39</v>
      </c>
      <c r="H1" s="20" t="s">
        <v>40</v>
      </c>
      <c r="I1" s="21" t="s">
        <v>41</v>
      </c>
    </row>
    <row r="2" ht="12.75" customHeight="1">
      <c r="A2" s="8">
        <f t="array" ref="A2:A14">SEQUENCE(13,1)</f>
        <v>1</v>
      </c>
      <c r="B2" s="8" t="s">
        <v>2</v>
      </c>
      <c r="C2" s="8" t="s">
        <v>42</v>
      </c>
      <c r="D2" s="9" t="s">
        <v>43</v>
      </c>
      <c r="E2" s="9" t="s">
        <v>44</v>
      </c>
      <c r="F2" s="8" t="s">
        <v>45</v>
      </c>
      <c r="G2" s="8" t="s">
        <v>46</v>
      </c>
      <c r="H2" s="22">
        <v>0.6875</v>
      </c>
      <c r="I2" s="8">
        <v>243.0</v>
      </c>
    </row>
    <row r="3" ht="12.75" customHeight="1">
      <c r="A3" s="8">
        <v>2.0</v>
      </c>
      <c r="B3" s="8" t="s">
        <v>47</v>
      </c>
      <c r="C3" s="8" t="s">
        <v>2</v>
      </c>
      <c r="D3" s="9" t="s">
        <v>48</v>
      </c>
      <c r="E3" s="9" t="s">
        <v>49</v>
      </c>
      <c r="F3" s="8" t="s">
        <v>50</v>
      </c>
      <c r="G3" s="8" t="s">
        <v>51</v>
      </c>
      <c r="H3" s="22">
        <v>0.6666666666666666</v>
      </c>
      <c r="I3" s="8">
        <v>136.0</v>
      </c>
    </row>
    <row r="4" ht="12.75" customHeight="1">
      <c r="A4" s="8">
        <v>3.0</v>
      </c>
      <c r="B4" s="8" t="s">
        <v>52</v>
      </c>
      <c r="C4" s="8" t="s">
        <v>2</v>
      </c>
      <c r="D4" s="9" t="s">
        <v>53</v>
      </c>
      <c r="E4" s="9" t="s">
        <v>54</v>
      </c>
      <c r="F4" s="8" t="s">
        <v>55</v>
      </c>
      <c r="G4" s="8" t="s">
        <v>46</v>
      </c>
      <c r="H4" s="22">
        <v>0.6041666666666666</v>
      </c>
      <c r="I4" s="8">
        <v>228.0</v>
      </c>
    </row>
    <row r="5" ht="12.75" customHeight="1">
      <c r="A5" s="8">
        <v>4.0</v>
      </c>
      <c r="B5" s="8" t="s">
        <v>2</v>
      </c>
      <c r="C5" s="8" t="s">
        <v>56</v>
      </c>
      <c r="D5" s="9" t="s">
        <v>43</v>
      </c>
      <c r="E5" s="9" t="s">
        <v>44</v>
      </c>
      <c r="F5" s="8" t="s">
        <v>57</v>
      </c>
      <c r="G5" s="8" t="s">
        <v>46</v>
      </c>
      <c r="H5" s="22">
        <v>0.6875</v>
      </c>
      <c r="I5" s="8">
        <v>182.0</v>
      </c>
    </row>
    <row r="6" ht="12.75" customHeight="1">
      <c r="A6" s="8">
        <v>5.0</v>
      </c>
      <c r="B6" s="8" t="s">
        <v>58</v>
      </c>
      <c r="C6" s="8" t="s">
        <v>2</v>
      </c>
      <c r="D6" s="9" t="s">
        <v>59</v>
      </c>
      <c r="E6" s="9" t="s">
        <v>60</v>
      </c>
      <c r="F6" s="8" t="s">
        <v>61</v>
      </c>
      <c r="G6" s="8" t="s">
        <v>51</v>
      </c>
      <c r="H6" s="22">
        <v>0.6666666666666666</v>
      </c>
      <c r="I6" s="8">
        <v>160.0</v>
      </c>
    </row>
    <row r="7" ht="12.75" customHeight="1">
      <c r="A7" s="8">
        <v>6.0</v>
      </c>
      <c r="B7" s="8" t="s">
        <v>2</v>
      </c>
      <c r="C7" s="8" t="s">
        <v>62</v>
      </c>
      <c r="D7" s="9" t="s">
        <v>43</v>
      </c>
      <c r="E7" s="9" t="s">
        <v>44</v>
      </c>
      <c r="F7" s="8" t="s">
        <v>63</v>
      </c>
      <c r="G7" s="8" t="s">
        <v>46</v>
      </c>
      <c r="H7" s="10">
        <v>0.5416666666666666</v>
      </c>
      <c r="I7" s="8">
        <v>302.0</v>
      </c>
    </row>
    <row r="8" ht="12.75" customHeight="1">
      <c r="A8" s="8">
        <v>7.0</v>
      </c>
      <c r="B8" s="8" t="s">
        <v>18</v>
      </c>
      <c r="C8" s="8" t="s">
        <v>2</v>
      </c>
      <c r="D8" s="9" t="s">
        <v>64</v>
      </c>
      <c r="E8" s="9" t="s">
        <v>65</v>
      </c>
      <c r="F8" s="8" t="s">
        <v>66</v>
      </c>
      <c r="G8" s="8" t="s">
        <v>67</v>
      </c>
      <c r="H8" s="10">
        <v>0.7083333333333334</v>
      </c>
      <c r="I8" s="8">
        <v>52.6</v>
      </c>
    </row>
    <row r="9" ht="12.75" customHeight="1">
      <c r="A9" s="8">
        <v>8.0</v>
      </c>
      <c r="B9" s="8" t="s">
        <v>2</v>
      </c>
      <c r="C9" s="8" t="s">
        <v>58</v>
      </c>
      <c r="D9" s="9" t="s">
        <v>43</v>
      </c>
      <c r="E9" s="9" t="s">
        <v>44</v>
      </c>
      <c r="F9" s="8" t="s">
        <v>68</v>
      </c>
      <c r="G9" s="8" t="s">
        <v>51</v>
      </c>
      <c r="H9" s="22">
        <v>0.6875</v>
      </c>
      <c r="I9" s="8">
        <v>160.0</v>
      </c>
    </row>
    <row r="10" ht="12.75" customHeight="1">
      <c r="A10" s="8">
        <v>9.0</v>
      </c>
      <c r="B10" s="8" t="s">
        <v>2</v>
      </c>
      <c r="C10" s="8" t="s">
        <v>52</v>
      </c>
      <c r="D10" s="9" t="s">
        <v>43</v>
      </c>
      <c r="E10" s="9" t="s">
        <v>44</v>
      </c>
      <c r="F10" s="8" t="s">
        <v>69</v>
      </c>
      <c r="G10" s="8" t="s">
        <v>46</v>
      </c>
      <c r="H10" s="22">
        <v>0.6666666666666666</v>
      </c>
      <c r="I10" s="8">
        <v>228.0</v>
      </c>
    </row>
    <row r="11" ht="12.75" customHeight="1">
      <c r="A11" s="8">
        <v>10.0</v>
      </c>
      <c r="B11" s="8" t="s">
        <v>2</v>
      </c>
      <c r="C11" s="8" t="s">
        <v>47</v>
      </c>
      <c r="D11" s="9" t="s">
        <v>43</v>
      </c>
      <c r="E11" s="9" t="s">
        <v>44</v>
      </c>
      <c r="F11" s="8" t="s">
        <v>70</v>
      </c>
      <c r="G11" s="8" t="s">
        <v>51</v>
      </c>
      <c r="H11" s="22">
        <v>0.6875</v>
      </c>
      <c r="I11" s="8">
        <v>136.0</v>
      </c>
    </row>
    <row r="12" ht="12.75" customHeight="1">
      <c r="A12" s="8">
        <v>11.0</v>
      </c>
      <c r="B12" s="8" t="s">
        <v>71</v>
      </c>
      <c r="C12" s="8" t="s">
        <v>2</v>
      </c>
      <c r="D12" s="9" t="s">
        <v>72</v>
      </c>
      <c r="E12" s="9" t="s">
        <v>73</v>
      </c>
      <c r="F12" s="8" t="s">
        <v>74</v>
      </c>
      <c r="G12" s="8" t="s">
        <v>46</v>
      </c>
      <c r="H12" s="22">
        <v>0.5416666666666666</v>
      </c>
      <c r="I12" s="8">
        <v>187.0</v>
      </c>
    </row>
    <row r="13" ht="12.75" customHeight="1">
      <c r="A13" s="8">
        <v>12.0</v>
      </c>
      <c r="B13" s="8" t="s">
        <v>2</v>
      </c>
      <c r="C13" s="8" t="s">
        <v>18</v>
      </c>
      <c r="D13" s="9" t="s">
        <v>43</v>
      </c>
      <c r="E13" s="9" t="s">
        <v>44</v>
      </c>
      <c r="F13" s="8" t="s">
        <v>75</v>
      </c>
      <c r="G13" s="8" t="s">
        <v>67</v>
      </c>
      <c r="H13" s="10">
        <v>0.7083333333333334</v>
      </c>
      <c r="I13" s="8">
        <v>52.6</v>
      </c>
    </row>
    <row r="14" ht="12.75" customHeight="1">
      <c r="A14" s="8">
        <v>13.0</v>
      </c>
      <c r="B14" s="8" t="s">
        <v>42</v>
      </c>
      <c r="C14" s="8" t="s">
        <v>2</v>
      </c>
      <c r="D14" s="9" t="s">
        <v>76</v>
      </c>
      <c r="E14" s="9" t="s">
        <v>77</v>
      </c>
      <c r="F14" s="8" t="s">
        <v>78</v>
      </c>
      <c r="G14" s="8" t="s">
        <v>46</v>
      </c>
      <c r="H14" s="10">
        <v>0.6875</v>
      </c>
      <c r="I14" s="8">
        <v>243.0</v>
      </c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4" t="str">
        <f>ModelSheet=#REF!</f>
        <v>#NAME?</v>
      </c>
    </row>
    <row r="2" ht="15.75" customHeight="1">
      <c r="A2" s="14" t="str">
        <f>OpenSolver_AdjNum=0</f>
        <v>#NAME?</v>
      </c>
    </row>
    <row r="3" ht="15.75" customHeight="1">
      <c r="A3" s="14" t="str">
        <f>OpenSolver_ChosenSolver=GLPK</f>
        <v>#NAME?</v>
      </c>
    </row>
    <row r="4" ht="15.75" customHeight="1">
      <c r="A4" s="14" t="str">
        <f>OpenSolver_FastBuild=0</f>
        <v>#NAME?</v>
      </c>
    </row>
    <row r="5" ht="15.75" customHeight="1">
      <c r="A5" s="14" t="str">
        <f>OpenSolver_LinearityCheck=1</f>
        <v>#NAME?</v>
      </c>
    </row>
    <row r="6" ht="15.75" customHeight="1">
      <c r="A6" s="14" t="str">
        <f>solver_neg=1</f>
        <v>#NAME?</v>
      </c>
    </row>
    <row r="7" ht="15.75" customHeight="1">
      <c r="A7" s="14" t="str">
        <f>solver_num=0</f>
        <v>#NAME?</v>
      </c>
    </row>
    <row r="8" ht="15.75" customHeight="1">
      <c r="A8" s="14" t="str">
        <f>solver_sho=1</f>
        <v>#NAME?</v>
      </c>
    </row>
    <row r="9" ht="15.75" customHeight="1">
      <c r="A9" s="14" t="str">
        <f>solver_typ=2</f>
        <v>#NAME?</v>
      </c>
    </row>
    <row r="10" ht="15.75" customHeight="1">
      <c r="A10" s="14" t="str">
        <f>solver_val=0</f>
        <v>#NAME?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4"/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4" t="str">
        <f>ModelSheet=#REF!</f>
        <v>#NAME?</v>
      </c>
      <c r="B1" s="14" t="str">
        <f>ModelSheet=Optimization!A:Z</f>
        <v>#NAME?</v>
      </c>
    </row>
    <row r="2" ht="15.75" customHeight="1">
      <c r="A2" s="14" t="str">
        <f>OpenSolver_AdjNum=0</f>
        <v>#NAME?</v>
      </c>
      <c r="B2" s="14" t="str">
        <f>OpenSolver_AdjNum=1</f>
        <v>#NAME?</v>
      </c>
    </row>
    <row r="3" ht="15.75" customHeight="1">
      <c r="A3" s="14" t="str">
        <f>OpenSolver_ChosenSolver=GLPK</f>
        <v>#NAME?</v>
      </c>
      <c r="B3" s="14" t="str">
        <f>OpenSolver_ChosenSolver=Google</f>
        <v>#NAME?</v>
      </c>
    </row>
    <row r="4" ht="15.75" customHeight="1">
      <c r="A4" s="14" t="str">
        <f t="shared" ref="A4:B4" si="1">OpenSolver_FastBuild=0</f>
        <v>#NAME?</v>
      </c>
      <c r="B4" s="14" t="str">
        <f t="shared" si="1"/>
        <v>#NAME?</v>
      </c>
    </row>
    <row r="5" ht="15.75" customHeight="1">
      <c r="A5" s="14" t="str">
        <f t="shared" ref="A5:B5" si="2">OpenSolver_LinearityCheck=1</f>
        <v>#NAME?</v>
      </c>
      <c r="B5" s="14" t="str">
        <f t="shared" si="2"/>
        <v>#NAME?</v>
      </c>
    </row>
    <row r="6" ht="15.75" customHeight="1">
      <c r="A6" s="14" t="str">
        <f>solver_neg=1</f>
        <v>#NAME?</v>
      </c>
      <c r="B6" s="14" t="str">
        <f>solver_adj=Optimization!B41:Q56</f>
        <v>#NAME?</v>
      </c>
    </row>
    <row r="7" ht="15.75" customHeight="1">
      <c r="A7" s="14" t="str">
        <f>solver_num=0</f>
        <v>#NAME?</v>
      </c>
      <c r="B7" s="14" t="str">
        <f>solver_lhs1=Optimization!R41:R56</f>
        <v>#NAME?</v>
      </c>
    </row>
    <row r="8" ht="15.75" customHeight="1">
      <c r="A8" s="14" t="str">
        <f>solver_sho=1</f>
        <v>#NAME?</v>
      </c>
      <c r="B8" s="14" t="str">
        <f>solver_lhs2=Optimization!B57:Q57</f>
        <v>#NAME?</v>
      </c>
    </row>
    <row r="9" ht="15.75" customHeight="1">
      <c r="A9" s="14" t="str">
        <f>solver_typ=2</f>
        <v>#NAME?</v>
      </c>
      <c r="B9" s="14" t="str">
        <f>solver_lhs3=Optimization!B41:Q56</f>
        <v>#NAME?</v>
      </c>
    </row>
    <row r="10" ht="15.75" customHeight="1">
      <c r="A10" s="14" t="str">
        <f>solver_val=0</f>
        <v>#NAME?</v>
      </c>
      <c r="B10" s="14" t="str">
        <f>solver_lhs4=Optimization!B41:G46</f>
        <v>#NAME?</v>
      </c>
    </row>
    <row r="11" ht="15.75" customHeight="1">
      <c r="B11" s="14" t="str">
        <f>solver_lhs5=Optimization!H47:L51</f>
        <v>#NAME?</v>
      </c>
    </row>
    <row r="12" ht="15.75" customHeight="1">
      <c r="B12" s="14" t="str">
        <f>solver_lhs6=Optimization!M52:Q56</f>
        <v>#NAME?</v>
      </c>
    </row>
    <row r="13" ht="15.75" customHeight="1">
      <c r="B13" s="14" t="str">
        <f>solver_neg=1</f>
        <v>#NAME?</v>
      </c>
    </row>
    <row r="14" ht="15.75" customHeight="1">
      <c r="B14" s="14" t="str">
        <f>solver_num=6</f>
        <v>#NAME?</v>
      </c>
    </row>
    <row r="15" ht="15.75" customHeight="1">
      <c r="B15" s="14" t="str">
        <f>solver_opt=Optimization!S23</f>
        <v>#NAME?</v>
      </c>
    </row>
    <row r="16" ht="15.75" customHeight="1">
      <c r="B16" s="14" t="str">
        <f>solver_rel1=2</f>
        <v>#NAME?</v>
      </c>
    </row>
    <row r="17" ht="15.75" customHeight="1">
      <c r="B17" s="14" t="str">
        <f>solver_rel2=2</f>
        <v>#NAME?</v>
      </c>
    </row>
    <row r="18" ht="15.75" customHeight="1">
      <c r="B18" s="14" t="str">
        <f>solver_rel3=5</f>
        <v>#NAME?</v>
      </c>
    </row>
    <row r="19" ht="15.75" customHeight="1">
      <c r="B19" s="14" t="str">
        <f>solver_rel4=2</f>
        <v>#NAME?</v>
      </c>
    </row>
    <row r="20" ht="15.75" customHeight="1">
      <c r="B20" s="14" t="str">
        <f>solver_rel5=2</f>
        <v>#NAME?</v>
      </c>
    </row>
    <row r="21" ht="15.75" customHeight="1">
      <c r="B21" s="14" t="str">
        <f>solver_rel6=2</f>
        <v>#NAME?</v>
      </c>
    </row>
    <row r="22" ht="15.75" customHeight="1">
      <c r="B22" s="14" t="str">
        <f>solver_rhs1=Optimization!S41:S56</f>
        <v>#NAME?</v>
      </c>
    </row>
    <row r="23" ht="15.75" customHeight="1">
      <c r="B23" s="14" t="str">
        <f>solver_rhs2=Optimization!B58:Q58</f>
        <v>#NAME?</v>
      </c>
    </row>
    <row r="24" ht="15.75" customHeight="1">
      <c r="B24" s="14" t="str">
        <f>solver_rhs3=binary</f>
        <v>#NAME?</v>
      </c>
    </row>
    <row r="25" ht="15.75" customHeight="1">
      <c r="B25" s="14" t="str">
        <f>solver_rhs4=Optimization!B23:G28</f>
        <v>#NAME?</v>
      </c>
    </row>
    <row r="26" ht="15.75" customHeight="1">
      <c r="B26" s="14" t="str">
        <f>solver_rhs5=Optimization!H29:L33</f>
        <v>#NAME?</v>
      </c>
    </row>
    <row r="27" ht="15.75" customHeight="1">
      <c r="B27" s="14" t="str">
        <f>solver_rhs6=Optimization!M34:Q38</f>
        <v>#NAME?</v>
      </c>
    </row>
    <row r="28" ht="15.75" customHeight="1">
      <c r="B28" s="14" t="str">
        <f>solver_sho=1</f>
        <v>#NAME?</v>
      </c>
    </row>
    <row r="29" ht="15.75" customHeight="1">
      <c r="B29" s="14" t="str">
        <f>solver_typ=2</f>
        <v>#NAME?</v>
      </c>
    </row>
    <row r="30" ht="15.75" customHeight="1">
      <c r="B30" s="14" t="str">
        <f>solver_val=0</f>
        <v>#NAME?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